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2892E600-A8D6-5143-B7C6-B25C439670B2}" xr6:coauthVersionLast="47" xr6:coauthVersionMax="47" xr10:uidLastSave="{00000000-0000-0000-0000-000000000000}"/>
  <bookViews>
    <workbookView xWindow="0" yWindow="660" windowWidth="30240" windowHeight="18980" xr2:uid="{74C211D7-4B11-0A44-B7E0-1112383FB3FD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132" i="1" l="1"/>
  <c r="R132" i="1"/>
  <c r="J132" i="1"/>
  <c r="AJ132" i="1" s="1"/>
  <c r="Z131" i="1"/>
  <c r="R131" i="1"/>
  <c r="J131" i="1"/>
  <c r="AJ131" i="1" s="1"/>
  <c r="AJ130" i="1"/>
  <c r="Z130" i="1"/>
  <c r="R130" i="1"/>
  <c r="J130" i="1"/>
  <c r="Z129" i="1"/>
  <c r="R129" i="1"/>
  <c r="AJ129" i="1" s="1"/>
  <c r="J129" i="1"/>
  <c r="Z128" i="1"/>
  <c r="R128" i="1"/>
  <c r="AJ128" i="1" s="1"/>
  <c r="J128" i="1"/>
  <c r="Z127" i="1"/>
  <c r="R127" i="1"/>
  <c r="J127" i="1"/>
  <c r="AJ127" i="1" s="1"/>
  <c r="Z126" i="1"/>
  <c r="R126" i="1"/>
  <c r="J126" i="1"/>
  <c r="AJ126" i="1" s="1"/>
  <c r="AJ125" i="1"/>
  <c r="Z125" i="1"/>
  <c r="R125" i="1"/>
  <c r="J125" i="1"/>
  <c r="Z124" i="1"/>
  <c r="R124" i="1"/>
  <c r="J124" i="1"/>
  <c r="AJ124" i="1" s="1"/>
  <c r="Z123" i="1"/>
  <c r="R123" i="1"/>
  <c r="AJ123" i="1" s="1"/>
  <c r="J123" i="1"/>
  <c r="Z122" i="1"/>
  <c r="R122" i="1"/>
  <c r="J122" i="1"/>
  <c r="AJ122" i="1" s="1"/>
  <c r="Z121" i="1"/>
  <c r="R121" i="1"/>
  <c r="J121" i="1"/>
  <c r="AJ121" i="1" s="1"/>
  <c r="AJ120" i="1"/>
  <c r="Z120" i="1"/>
  <c r="R120" i="1"/>
  <c r="J120" i="1"/>
  <c r="Z119" i="1"/>
  <c r="R119" i="1"/>
  <c r="J119" i="1"/>
  <c r="AJ119" i="1" s="1"/>
  <c r="Z118" i="1"/>
  <c r="R118" i="1"/>
  <c r="AJ118" i="1" s="1"/>
  <c r="J118" i="1"/>
  <c r="Z117" i="1"/>
  <c r="R117" i="1"/>
  <c r="J117" i="1"/>
  <c r="AJ117" i="1" s="1"/>
  <c r="Z116" i="1"/>
  <c r="R116" i="1"/>
  <c r="J116" i="1"/>
  <c r="AJ116" i="1" s="1"/>
  <c r="AJ115" i="1"/>
  <c r="Z115" i="1"/>
  <c r="R115" i="1"/>
  <c r="J115" i="1"/>
  <c r="Z114" i="1"/>
  <c r="R114" i="1"/>
  <c r="J114" i="1"/>
  <c r="AJ114" i="1" s="1"/>
  <c r="Z113" i="1"/>
  <c r="R113" i="1"/>
  <c r="AJ113" i="1" s="1"/>
  <c r="J113" i="1"/>
  <c r="Z112" i="1"/>
  <c r="R112" i="1"/>
  <c r="J112" i="1"/>
  <c r="AJ112" i="1" s="1"/>
  <c r="Z111" i="1"/>
  <c r="R111" i="1"/>
  <c r="J111" i="1"/>
  <c r="AJ111" i="1" s="1"/>
  <c r="AJ110" i="1"/>
  <c r="Z110" i="1"/>
  <c r="R110" i="1"/>
  <c r="J110" i="1"/>
  <c r="Z109" i="1"/>
  <c r="R109" i="1"/>
  <c r="J109" i="1"/>
  <c r="AJ109" i="1" s="1"/>
  <c r="Z108" i="1"/>
  <c r="R108" i="1"/>
  <c r="AJ108" i="1" s="1"/>
  <c r="J108" i="1"/>
  <c r="Z107" i="1"/>
  <c r="R107" i="1"/>
  <c r="J107" i="1"/>
  <c r="AJ107" i="1" s="1"/>
  <c r="Z106" i="1"/>
  <c r="R106" i="1"/>
  <c r="J106" i="1"/>
  <c r="AJ106" i="1" s="1"/>
  <c r="AJ105" i="1"/>
  <c r="Z105" i="1"/>
  <c r="R105" i="1"/>
  <c r="J105" i="1"/>
  <c r="Z104" i="1"/>
  <c r="R104" i="1"/>
  <c r="J104" i="1"/>
  <c r="AJ104" i="1" s="1"/>
  <c r="Z103" i="1"/>
  <c r="R103" i="1"/>
  <c r="AJ103" i="1" s="1"/>
  <c r="J103" i="1"/>
  <c r="Z102" i="1"/>
  <c r="R102" i="1"/>
  <c r="J102" i="1"/>
  <c r="AJ102" i="1" s="1"/>
  <c r="Z101" i="1"/>
  <c r="R101" i="1"/>
  <c r="J101" i="1"/>
  <c r="AJ101" i="1" s="1"/>
  <c r="AJ100" i="1"/>
  <c r="Z100" i="1"/>
  <c r="R100" i="1"/>
  <c r="J100" i="1"/>
  <c r="Z99" i="1"/>
  <c r="R99" i="1"/>
  <c r="J99" i="1"/>
  <c r="AJ99" i="1" s="1"/>
  <c r="Z98" i="1"/>
  <c r="R98" i="1"/>
  <c r="AJ98" i="1" s="1"/>
  <c r="J98" i="1"/>
  <c r="Z97" i="1"/>
  <c r="R97" i="1"/>
  <c r="J97" i="1"/>
  <c r="AJ97" i="1" s="1"/>
  <c r="Z96" i="1"/>
  <c r="R96" i="1"/>
  <c r="J96" i="1"/>
  <c r="AJ96" i="1" s="1"/>
  <c r="AJ95" i="1"/>
  <c r="Z95" i="1"/>
  <c r="R95" i="1"/>
  <c r="J95" i="1"/>
  <c r="Z94" i="1"/>
  <c r="R94" i="1"/>
  <c r="J94" i="1"/>
  <c r="AJ94" i="1" s="1"/>
  <c r="Z93" i="1"/>
  <c r="R93" i="1"/>
  <c r="AJ93" i="1" s="1"/>
  <c r="J93" i="1"/>
  <c r="Z92" i="1"/>
  <c r="R92" i="1"/>
  <c r="J92" i="1"/>
  <c r="AJ92" i="1" s="1"/>
  <c r="Z91" i="1"/>
  <c r="R91" i="1"/>
  <c r="J91" i="1"/>
  <c r="AJ91" i="1" s="1"/>
  <c r="AJ90" i="1"/>
  <c r="Z90" i="1"/>
  <c r="R90" i="1"/>
  <c r="J90" i="1"/>
  <c r="Z89" i="1"/>
  <c r="R89" i="1"/>
  <c r="J89" i="1"/>
  <c r="AJ89" i="1" s="1"/>
  <c r="Z88" i="1"/>
  <c r="R88" i="1"/>
  <c r="AJ88" i="1" s="1"/>
  <c r="J88" i="1"/>
  <c r="AH87" i="1"/>
  <c r="Z87" i="1"/>
  <c r="R87" i="1"/>
  <c r="J87" i="1"/>
  <c r="AJ87" i="1" s="1"/>
  <c r="Z86" i="1"/>
  <c r="R86" i="1"/>
  <c r="J86" i="1"/>
  <c r="AJ86" i="1" s="1"/>
  <c r="Z85" i="1"/>
  <c r="R85" i="1"/>
  <c r="J85" i="1"/>
  <c r="AJ85" i="1" s="1"/>
  <c r="AH84" i="1"/>
  <c r="Z84" i="1"/>
  <c r="R84" i="1"/>
  <c r="J84" i="1"/>
  <c r="AJ84" i="1" s="1"/>
  <c r="AJ83" i="1"/>
  <c r="Z83" i="1"/>
  <c r="R83" i="1"/>
  <c r="J83" i="1"/>
  <c r="Z82" i="1"/>
  <c r="R82" i="1"/>
  <c r="J82" i="1"/>
  <c r="AJ82" i="1" s="1"/>
  <c r="Z81" i="1"/>
  <c r="R81" i="1"/>
  <c r="AJ81" i="1" s="1"/>
  <c r="J81" i="1"/>
  <c r="Z80" i="1"/>
  <c r="R80" i="1"/>
  <c r="J80" i="1"/>
  <c r="AJ80" i="1" s="1"/>
  <c r="Z79" i="1"/>
  <c r="R79" i="1"/>
  <c r="J79" i="1"/>
  <c r="AJ79" i="1" s="1"/>
  <c r="AJ78" i="1"/>
  <c r="Z78" i="1"/>
  <c r="R78" i="1"/>
  <c r="J78" i="1"/>
  <c r="Z77" i="1"/>
  <c r="R77" i="1"/>
  <c r="J77" i="1"/>
  <c r="AJ77" i="1" s="1"/>
  <c r="Z76" i="1"/>
  <c r="R76" i="1"/>
  <c r="AJ76" i="1" s="1"/>
  <c r="J76" i="1"/>
  <c r="Z75" i="1"/>
  <c r="R75" i="1"/>
  <c r="J75" i="1"/>
  <c r="AJ75" i="1" s="1"/>
  <c r="Z74" i="1"/>
  <c r="R74" i="1"/>
  <c r="J74" i="1"/>
  <c r="AJ74" i="1" s="1"/>
  <c r="AJ73" i="1"/>
  <c r="Z73" i="1"/>
  <c r="R73" i="1"/>
  <c r="J73" i="1"/>
  <c r="Z72" i="1"/>
  <c r="R72" i="1"/>
  <c r="J72" i="1"/>
  <c r="AJ72" i="1" s="1"/>
  <c r="Z71" i="1"/>
  <c r="R71" i="1"/>
  <c r="AJ71" i="1" s="1"/>
  <c r="J71" i="1"/>
  <c r="Z70" i="1"/>
  <c r="R70" i="1"/>
  <c r="J70" i="1"/>
  <c r="AJ70" i="1" s="1"/>
  <c r="Z69" i="1"/>
  <c r="R69" i="1"/>
  <c r="J69" i="1"/>
  <c r="AJ69" i="1" s="1"/>
  <c r="AJ68" i="1"/>
  <c r="Z68" i="1"/>
  <c r="R68" i="1"/>
  <c r="J68" i="1"/>
  <c r="Z67" i="1"/>
  <c r="R67" i="1"/>
  <c r="J67" i="1"/>
  <c r="AJ67" i="1" s="1"/>
  <c r="Z66" i="1"/>
  <c r="R66" i="1"/>
  <c r="AJ66" i="1" s="1"/>
  <c r="J66" i="1"/>
  <c r="Z65" i="1"/>
  <c r="R65" i="1"/>
  <c r="J65" i="1"/>
  <c r="AJ65" i="1" s="1"/>
  <c r="Z64" i="1"/>
  <c r="R64" i="1"/>
  <c r="J64" i="1"/>
  <c r="AJ64" i="1" s="1"/>
  <c r="AJ63" i="1"/>
  <c r="Z63" i="1"/>
  <c r="R63" i="1"/>
  <c r="J63" i="1"/>
  <c r="Z62" i="1"/>
  <c r="R62" i="1"/>
  <c r="J62" i="1"/>
  <c r="AJ62" i="1" s="1"/>
  <c r="Z61" i="1"/>
  <c r="R61" i="1"/>
  <c r="AJ61" i="1" s="1"/>
  <c r="J61" i="1"/>
  <c r="Z60" i="1"/>
  <c r="R60" i="1"/>
  <c r="J60" i="1"/>
  <c r="AJ60" i="1" s="1"/>
  <c r="Z59" i="1"/>
  <c r="R59" i="1"/>
  <c r="J59" i="1"/>
  <c r="AJ59" i="1" s="1"/>
  <c r="AJ58" i="1"/>
  <c r="Z58" i="1"/>
  <c r="R58" i="1"/>
  <c r="J58" i="1"/>
  <c r="Z57" i="1"/>
  <c r="R57" i="1"/>
  <c r="J57" i="1"/>
  <c r="AJ57" i="1" s="1"/>
  <c r="Z56" i="1"/>
  <c r="R56" i="1"/>
  <c r="AJ56" i="1" s="1"/>
  <c r="J56" i="1"/>
  <c r="Z55" i="1"/>
  <c r="R55" i="1"/>
  <c r="J55" i="1"/>
  <c r="AJ55" i="1" s="1"/>
  <c r="Z54" i="1"/>
  <c r="R54" i="1"/>
  <c r="J54" i="1"/>
  <c r="AJ54" i="1" s="1"/>
  <c r="AJ53" i="1"/>
  <c r="Z53" i="1"/>
  <c r="R53" i="1"/>
  <c r="J53" i="1"/>
  <c r="Z52" i="1"/>
  <c r="R52" i="1"/>
  <c r="J52" i="1"/>
  <c r="AJ52" i="1" s="1"/>
  <c r="Z51" i="1"/>
  <c r="R51" i="1"/>
  <c r="AJ51" i="1" s="1"/>
  <c r="J51" i="1"/>
  <c r="Z50" i="1"/>
  <c r="R50" i="1"/>
  <c r="J50" i="1"/>
  <c r="AJ50" i="1" s="1"/>
  <c r="Z49" i="1"/>
  <c r="R49" i="1"/>
  <c r="J49" i="1"/>
  <c r="AJ49" i="1" s="1"/>
  <c r="AJ48" i="1"/>
  <c r="Z48" i="1"/>
  <c r="R48" i="1"/>
  <c r="J48" i="1"/>
  <c r="Z47" i="1"/>
  <c r="R47" i="1"/>
  <c r="J47" i="1"/>
  <c r="AJ47" i="1" s="1"/>
  <c r="Z46" i="1"/>
  <c r="R46" i="1"/>
  <c r="AJ46" i="1" s="1"/>
  <c r="J46" i="1"/>
  <c r="Z45" i="1"/>
  <c r="R45" i="1"/>
  <c r="J45" i="1"/>
  <c r="AJ45" i="1" s="1"/>
  <c r="Z44" i="1"/>
  <c r="R44" i="1"/>
  <c r="J44" i="1"/>
  <c r="AJ44" i="1" s="1"/>
  <c r="AJ43" i="1"/>
  <c r="Z43" i="1"/>
  <c r="R43" i="1"/>
  <c r="J43" i="1"/>
  <c r="Z42" i="1"/>
  <c r="R42" i="1"/>
  <c r="J42" i="1"/>
  <c r="AJ42" i="1" s="1"/>
  <c r="Z41" i="1"/>
  <c r="R41" i="1"/>
  <c r="AJ41" i="1" s="1"/>
  <c r="J41" i="1"/>
  <c r="Z40" i="1"/>
  <c r="R40" i="1"/>
  <c r="J40" i="1"/>
  <c r="AJ40" i="1" s="1"/>
  <c r="Z39" i="1"/>
  <c r="R39" i="1"/>
  <c r="J39" i="1"/>
  <c r="AJ39" i="1" s="1"/>
  <c r="AJ38" i="1"/>
  <c r="Z38" i="1"/>
  <c r="R38" i="1"/>
  <c r="J38" i="1"/>
  <c r="Z37" i="1"/>
  <c r="R37" i="1"/>
  <c r="J37" i="1"/>
  <c r="AJ37" i="1" s="1"/>
  <c r="Z36" i="1"/>
  <c r="R36" i="1"/>
  <c r="AJ36" i="1" s="1"/>
  <c r="J36" i="1"/>
  <c r="Z35" i="1"/>
  <c r="R35" i="1"/>
  <c r="J35" i="1"/>
  <c r="AJ35" i="1" s="1"/>
  <c r="Z34" i="1"/>
  <c r="R34" i="1"/>
  <c r="J34" i="1"/>
  <c r="AJ34" i="1" s="1"/>
  <c r="AJ33" i="1"/>
  <c r="Z33" i="1"/>
  <c r="R33" i="1"/>
  <c r="J33" i="1"/>
  <c r="Z32" i="1"/>
  <c r="R32" i="1"/>
  <c r="J32" i="1"/>
  <c r="AJ32" i="1" s="1"/>
  <c r="Z31" i="1"/>
  <c r="R31" i="1"/>
  <c r="AJ31" i="1" s="1"/>
  <c r="J31" i="1"/>
  <c r="Z30" i="1"/>
  <c r="R30" i="1"/>
  <c r="J30" i="1"/>
  <c r="AJ30" i="1" s="1"/>
  <c r="Z29" i="1"/>
  <c r="R29" i="1"/>
  <c r="J29" i="1"/>
  <c r="AJ29" i="1" s="1"/>
  <c r="AJ28" i="1"/>
  <c r="Z28" i="1"/>
  <c r="R28" i="1"/>
  <c r="J28" i="1"/>
  <c r="Z27" i="1"/>
  <c r="R27" i="1"/>
  <c r="J27" i="1"/>
  <c r="AJ27" i="1" s="1"/>
  <c r="AH26" i="1"/>
  <c r="Z26" i="1"/>
  <c r="AJ26" i="1" s="1"/>
  <c r="R26" i="1"/>
  <c r="J26" i="1"/>
  <c r="AH25" i="1"/>
  <c r="Z25" i="1"/>
  <c r="R25" i="1"/>
  <c r="J25" i="1"/>
  <c r="AJ25" i="1" s="1"/>
  <c r="Z24" i="1"/>
  <c r="R24" i="1"/>
  <c r="AJ24" i="1" s="1"/>
  <c r="J24" i="1"/>
  <c r="AH23" i="1"/>
  <c r="Z23" i="1"/>
  <c r="R23" i="1"/>
  <c r="J23" i="1"/>
  <c r="AJ23" i="1" s="1"/>
  <c r="AH22" i="1"/>
  <c r="Z22" i="1"/>
  <c r="R22" i="1"/>
  <c r="AJ22" i="1" s="1"/>
  <c r="J22" i="1"/>
  <c r="Z21" i="1"/>
  <c r="R21" i="1"/>
  <c r="J21" i="1"/>
  <c r="AJ21" i="1" s="1"/>
  <c r="AH20" i="1"/>
  <c r="Z20" i="1"/>
  <c r="R20" i="1"/>
  <c r="J20" i="1"/>
  <c r="AJ20" i="1" s="1"/>
  <c r="Z19" i="1"/>
  <c r="R19" i="1"/>
  <c r="J19" i="1"/>
  <c r="AJ19" i="1" s="1"/>
  <c r="Z18" i="1"/>
  <c r="R18" i="1"/>
  <c r="J18" i="1"/>
  <c r="AJ18" i="1" s="1"/>
  <c r="AJ17" i="1"/>
  <c r="AH17" i="1"/>
  <c r="Z17" i="1"/>
  <c r="R17" i="1"/>
  <c r="J17" i="1"/>
  <c r="AH16" i="1"/>
  <c r="Z16" i="1"/>
  <c r="R16" i="1"/>
  <c r="J16" i="1"/>
  <c r="AJ16" i="1" s="1"/>
  <c r="AJ15" i="1"/>
  <c r="Z15" i="1"/>
  <c r="R15" i="1"/>
  <c r="J15" i="1"/>
  <c r="Z14" i="1"/>
  <c r="R14" i="1"/>
  <c r="J14" i="1"/>
  <c r="AJ14" i="1" s="1"/>
  <c r="Z13" i="1"/>
  <c r="R13" i="1"/>
  <c r="J13" i="1"/>
  <c r="AJ13" i="1" s="1"/>
  <c r="Z12" i="1"/>
  <c r="R12" i="1"/>
  <c r="J12" i="1"/>
  <c r="AJ12" i="1" s="1"/>
  <c r="Z11" i="1"/>
  <c r="R11" i="1"/>
  <c r="J11" i="1"/>
  <c r="AJ11" i="1" s="1"/>
  <c r="AJ10" i="1"/>
  <c r="Z10" i="1"/>
  <c r="R10" i="1"/>
  <c r="J10" i="1"/>
  <c r="Z9" i="1"/>
  <c r="R9" i="1"/>
  <c r="J9" i="1"/>
  <c r="AJ9" i="1" s="1"/>
  <c r="Z8" i="1"/>
  <c r="R8" i="1"/>
  <c r="J8" i="1"/>
  <c r="AJ8" i="1" s="1"/>
  <c r="Z7" i="1"/>
  <c r="R7" i="1"/>
  <c r="J7" i="1"/>
  <c r="AJ7" i="1" s="1"/>
  <c r="Z6" i="1"/>
  <c r="R6" i="1"/>
  <c r="J6" i="1"/>
  <c r="AJ6" i="1" s="1"/>
  <c r="Z5" i="1"/>
  <c r="AJ5" i="1" s="1"/>
  <c r="R5" i="1"/>
  <c r="J5" i="1"/>
  <c r="Z4" i="1"/>
  <c r="R4" i="1"/>
  <c r="J4" i="1"/>
  <c r="AJ4" i="1" s="1"/>
</calcChain>
</file>

<file path=xl/sharedStrings.xml><?xml version="1.0" encoding="utf-8"?>
<sst xmlns="http://schemas.openxmlformats.org/spreadsheetml/2006/main" count="2067" uniqueCount="451">
  <si>
    <t>PROGRAMME</t>
  </si>
  <si>
    <t>CODE</t>
  </si>
  <si>
    <t>STATUS</t>
  </si>
  <si>
    <t>YEAR 1</t>
  </si>
  <si>
    <t>YEAR 2</t>
  </si>
  <si>
    <t>YEAR 3</t>
  </si>
  <si>
    <t>YEAR 4</t>
  </si>
  <si>
    <t>GRAND TOTAL</t>
  </si>
  <si>
    <t>NOTES</t>
  </si>
  <si>
    <t>IMPORT INSTRUCTION (FOR SERVER AGENT)</t>
  </si>
  <si>
    <t>SEM 1</t>
  </si>
  <si>
    <t>SEM 2</t>
  </si>
  <si>
    <t>SEM 3</t>
  </si>
  <si>
    <t>YR 1 TOTAL</t>
  </si>
  <si>
    <t>HAS YR 1</t>
  </si>
  <si>
    <t>YR 2 TOTAL</t>
  </si>
  <si>
    <t>HAS YR 2</t>
  </si>
  <si>
    <t>YR 3 TOTAL</t>
  </si>
  <si>
    <t>HAS YR 3</t>
  </si>
  <si>
    <t>YR 4 TOTAL</t>
  </si>
  <si>
    <t>HAS YR 4</t>
  </si>
  <si>
    <t>TUI</t>
  </si>
  <si>
    <t>FUNC</t>
  </si>
  <si>
    <t>ADVANCED CERTIFICATE IN INFORMATION TECHNOLOGY</t>
  </si>
  <si>
    <t>CITE</t>
  </si>
  <si>
    <t>Active</t>
  </si>
  <si>
    <t>✓</t>
  </si>
  <si>
    <t>✗</t>
  </si>
  <si>
    <t>—</t>
  </si>
  <si>
    <t>NO FACULTY ASSIGNED   |   No new-format match — figures left as in current system</t>
  </si>
  <si>
    <t>[PRESERVE]  There is no matching template in the legacy "new format" tab for programme "CITE".  Action: KEEP the figures already in this row (these are the values currently held by the system). Do not import any "legacy" values — none exist for this programme.  Programme category: 1-year certificate.  Do NOT change programme code, programme name, status, or faculty.</t>
  </si>
  <si>
    <t>CERTIFICATE IN LIBRARY AND INFORMATION TECHNOLOGY</t>
  </si>
  <si>
    <t>CLIS</t>
  </si>
  <si>
    <t>[PRESERVE]  There is no matching template in the legacy "new format" tab for programme "CLIS".  Action: KEEP the figures already in this row (these are the values currently held by the system). Do not import any "legacy" values — none exist for this programme.  Programme category: 1-year certificate.  Do NOT change programme code, programme name, status, or faculty.</t>
  </si>
  <si>
    <t>DIPLOMA IN COMPUTER SCIENCE</t>
  </si>
  <si>
    <t>DCS</t>
  </si>
  <si>
    <t>NO FACULTY ASSIGNED</t>
  </si>
  <si>
    <t>[VERIFY]  No figure changes needed for programme "DCS". Production figures should already equal the figures in this row (they were already aligned with the legacy template "DIT").  Recommended action: cross-check that production matches these figures; if they differ, treat as a drift and overwrite production with the figures here.  Do NOT change programme code, programme name, status, or faculty.</t>
  </si>
  <si>
    <t>ALL (Default Template)</t>
  </si>
  <si>
    <t>-</t>
  </si>
  <si>
    <t>Inactive</t>
  </si>
  <si>
    <t>NO FACULTY ASSIGNED  —  Default-fee template — Inactive   |   No new-format match — figures left as in current system</t>
  </si>
  <si>
    <t>[SKIP]  Do NOT import this row as a real programme.  This row is the system's default-fees / inactive template (code "-", status Inactive). It exists only to seed defaults for new programmes — it should never be created as a billable programme in production.  If the system already has an "ALL/Default" template, leave it as-is. Skip this row.</t>
  </si>
  <si>
    <t>ADVANCED CERTIFICATE IN ART AND DESIGN</t>
  </si>
  <si>
    <t>ACAD</t>
  </si>
  <si>
    <t>[PRESERVE]  There is no matching template in the legacy "new format" tab for programme "ACAD".  Action: KEEP the figures already in this row (these are the values currently held by the system). Do not import any "legacy" values — none exist for this programme.  Programme category: 1-year certificate.  Do NOT change programme code, programme name, status, or faculty.</t>
  </si>
  <si>
    <t>ADVANCED CERTIFICATE IN FASHION DESIGN</t>
  </si>
  <si>
    <t>ACFD</t>
  </si>
  <si>
    <t>[PRESERVE]  There is no matching template in the legacy "new format" tab for programme "ACFD".  Action: KEEP the figures already in this row (these are the values currently held by the system). Do not import any "legacy" values — none exist for this programme.  Programme category: 1-year certificate.  Do NOT change programme code, programme name, status, or faculty.</t>
  </si>
  <si>
    <t>ADVANCED CERTIFICATE IN GUIDANCE AND COUNSELLING</t>
  </si>
  <si>
    <t>ACGC</t>
  </si>
  <si>
    <t>[PRESERVE]  There is no matching template in the legacy "new format" tab for programme "ACGC".  Action: KEEP the figures already in this row (these are the values currently held by the system). Do not import any "legacy" values — none exist for this programme.  Programme category: 1-year certificate.  Do NOT change programme code, programme name, status, or faculty.</t>
  </si>
  <si>
    <t>ACITE</t>
  </si>
  <si>
    <t>NO FACULTY ASSIGNED  —  Duplicate name 'ADVANCED CERTIFICATE IN INFORMATION TECHNOLOGY' — see CITE   |   No new-format match — figures left as in current system</t>
  </si>
  <si>
    <t>[REVIEW]  Programme "ACITE" has the same official name as another programme already in the system.  Recommended action: confirm with the registrar whether this is a duplicate record. If yes, deactivate this row and route enrolments to the canonical record.</t>
  </si>
  <si>
    <t>ADVANCED CERTIFICATE IN SECRETARIAL &amp; MANAGEMENT STUDIES</t>
  </si>
  <si>
    <t>ACSM</t>
  </si>
  <si>
    <t>[PRESERVE]  There is no matching template in the legacy "new format" tab for programme "ACSM".  Action: KEEP the figures already in this row (these are the values currently held by the system). Do not import any "legacy" values — none exist for this programme.  Programme category: 1-year certificate.  Do NOT change programme code, programme name, status, or faculty.</t>
  </si>
  <si>
    <t>ADVANCED MANAGEMENT SKILLS</t>
  </si>
  <si>
    <t>AMS</t>
  </si>
  <si>
    <t>[VERIFY]  No figure changes needed for programme "AMS".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</si>
  <si>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BACHELOR OF ART AND DESIGN WITH EDUCATION</t>
  </si>
  <si>
    <t>BADE</t>
  </si>
  <si>
    <t>[VERIFY]  No figure changes needed for programme "BADE". Production figures should already equal the figures in this row (they were already aligned with the legacy template "BIFA").  Recommended action: cross-check that production matches these figures; if they differ, treat as a drift and overwrite production with the figures here.  Do NOT change programme code, programme name, status, or faculty.</t>
  </si>
  <si>
    <t>BACHELOR OF  ARTS WITH EDUCATION (ART DOUBLE MAIN )</t>
  </si>
  <si>
    <t>BAED/A</t>
  </si>
  <si>
    <t>[VERIFY]  No figure changes needed for programme "BAED/A". Production figures should already equal the figures in this row (they were already aligned with the legacy template "BBC").  Recommended action: cross-check that production matches these figures; if they differ, treat as a drift and overwrite production with the figures here.  Do NOT change programme code, programme name, status, or faculty.</t>
  </si>
  <si>
    <t>HYDROLOGY II</t>
  </si>
  <si>
    <t>BCE3207</t>
  </si>
  <si>
    <t>NO FACULTY ASSIGNED  —  Code is a course code (Hydrology II is a Y3S2 course, not a programme) — duplicate of BCE   |   Figures updated from new format → BEE-BCE  (Y2S1_FUNC: 1,402,000→1,322,000; Y4S1_TUI: 0→1,455,000; Y4S1_FUNC: 0→1,298,000; Y4S2_TUI: 0→1,455,000; Y4S2_FUNC: 0→1,568,000)</t>
  </si>
  <si>
    <t>[REVIEW]  Programme code "BCE3207" is structured like a course code (subject letters + 4-digit number).  The fee structure is identical to the canonical engineering programme ("BEE-BCE"). Likely root cause: a course code was mistakenly entered as a programme code in the EMIS.  Recommended action: BEFORE updating fees, verify with the registrar whether this is a legitimate programme. If not, mark Inactive and migrate any enrolled students to the canonical "BEE" / "BCE" / "BPA" programme.  If it IS a legitimate programme, update its fees with the figures in this row (legacy template BEE-BCE).</t>
  </si>
  <si>
    <t>BACHELOR OF SCIENCE IN ELECTRICAL ENGINEERING</t>
  </si>
  <si>
    <t>BEE1101</t>
  </si>
  <si>
    <t>NO FACULTY ASSIGNED  —  Code is a course code — duplicate of BEE   |   Figures updated from new format → BEE-BCE  (Y2S1_FUNC: 1,402,000→1,322,000; Y4S1_TUI: 0→1,455,000; Y4S1_FUNC: 0→1,298,000; Y4S2_TUI: 0→1,455,000; Y4S2_FUNC: 0→1,568,000)</t>
  </si>
  <si>
    <t>[REVIEW]  Programme code "BEE1101" is structured like a course code (subject letters + 4-digit number).  The fee structure is identical to the canonical engineering programme ("BEE-BCE"). Likely root cause: a course code was mistakenly entered as a programme code in the EMIS.  Recommended action: BEFORE updating fees, verify with the registrar whether this is a legitimate programme. If not, mark Inactive and migrate any enrolled students to the canonical "BEE" / "BCE" / "BPA" programme.  If it IS a legitimate programme, update its fees with the figures in this row (legacy template BEE-BCE).</t>
  </si>
  <si>
    <t>CERTIFICATE IN ELECTRICAL INSTALLATION</t>
  </si>
  <si>
    <t>CEI</t>
  </si>
  <si>
    <t>[PRESERVE]  There is no matching template in the legacy "new format" tab for programme "CEI".  Action: KEEP the figures already in this row (these are the values currently held by the system). Do not import any "legacy" values — none exist for this programme.  Programme category: 1-year certificate.  Do NOT change programme code, programme name, status, or faculty.</t>
  </si>
  <si>
    <t>DIPLOMA IN ARCHITECTURE  AND DRAUGHTSMANSHIP</t>
  </si>
  <si>
    <t>DADE</t>
  </si>
  <si>
    <t>[VERIFY]  No figure changes needed for programme "DADE". Production figures should already equal the figures in this row (they were already aligned with the legacy template "DAD-DFD").  Recommended action: cross-check that production matches these figures; if they differ, treat as a drift and overwrite production with the figures here.  Do NOT change programme code, programme name, status, or faculty.</t>
  </si>
  <si>
    <t>DCS1101</t>
  </si>
  <si>
    <t>[REVIEW]  Programme code "DCS1101" is structured like a course code (subject letters + 4-digit number).  The fee structure is identical to the canonical engineering programme ("BEE-BCE"). Likely root cause: a course code was mistakenly entered as a programme code in the EMIS.  Recommended action: BEFORE updating fees, verify with the registrar whether this is a legitimate programme. If not, mark Inactive and migrate any enrolled students to the canonical "BEE" / "BCE" / "BPA" programme.  If it IS a legitimate programme, update its fees with the figures in this row (legacy template BEE-BCE).</t>
  </si>
  <si>
    <t>DIPLOMA IN GUIDANCE AND COUNSELLING</t>
  </si>
  <si>
    <t>DGC</t>
  </si>
  <si>
    <t>[VERIFY]  No figure changes needed for programme "DGC".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</si>
  <si>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ECB1101</t>
  </si>
  <si>
    <t>[REVIEW]  Programme code "ECB1101" is structured like a course code (subject letters + 4-digit number).  The fee structure is identical to the canonical engineering programme ("BEE-BCE"). Likely root cause: a course code was mistakenly entered as a programme code in the EMIS.  Recommended action: BEFORE updating fees, verify with the registrar whether this is a legitimate programme. If not, mark Inactive and migrate any enrolled students to the canonical "BEE" / "BCE" / "BPA" programme.  If it IS a legitimate programme, update its fees with the figures in this row (legacy template BEE-BCE).</t>
  </si>
  <si>
    <t>EMB1101</t>
  </si>
  <si>
    <t>NO FACULTY ASSIGNED  —  Corrected source typo 'SCINCE'; code looks like a course code (likely duplicate of BEE)   |   Figures updated from new format → BEE-BCE  (Y2S1_FUNC: 1,402,000→1,322,000; Y4S1_TUI: 0→1,455,000; Y4S1_FUNC: 0→1,298,000; Y4S2_TUI: 0→1,455,000; Y4S2_FUNC: 0→1,568,000)</t>
  </si>
  <si>
    <t>[REVIEW]  Programme code "EMB1101" is structured like a course code (subject letters + 4-digit number).  The fee structure is identical to the canonical engineering programme ("BEE-BCE"). Likely root cause: a course code was mistakenly entered as a programme code in the EMIS.  Recommended action: BEFORE updating fees, verify with the registrar whether this is a legitimate programme. If not, mark Inactive and migrate any enrolled students to the canonical "BEE" / "BCE" / "BPA" programme.  If it IS a legitimate programme, update its fees with the figures in this row (legacy template BEE-BCE).</t>
  </si>
  <si>
    <t>BPA</t>
  </si>
  <si>
    <t>HRP 1101</t>
  </si>
  <si>
    <t>NO FACULTY ASSIGNED  —  Code looks like a course code; programme name shown as 'BPA' is abbreviated — see BPA in BUSINESS</t>
  </si>
  <si>
    <t>[REVIEW]  Programme code "HRP 1101" is structured like a course code (subject letters + 4-digit number).  The fee structure is identical to the canonical engineering programme ("BBC"). Likely root cause: a course code was mistakenly entered as a programme code in the EMIS.  Recommended action: BEFORE updating fees, verify with the registrar whether this is a legitimate programme. If not, mark Inactive and migrate any enrolled students to the canonical "BEE" / "BCE" / "BPA" programme.  If it IS a legitimate programme, update its fees with the figures in this row (legacy template BBC).</t>
  </si>
  <si>
    <t>SDB1101</t>
  </si>
  <si>
    <t>[REVIEW]  Programme code "SDB1101" is structured like a course code (subject letters + 4-digit number).  The fee structure is identical to the canonical engineering programme ("BEE-BCE"). Likely root cause: a course code was mistakenly entered as a programme code in the EMIS.  Recommended action: BEFORE updating fees, verify with the registrar whether this is a legitimate programme. If not, mark Inactive and migrate any enrolled students to the canonical "BEE" / "BCE" / "BPA" programme.  If it IS a legitimate programme, update its fees with the figures in this row (legacy template BEE-BCE).</t>
  </si>
  <si>
    <t>SEB1101</t>
  </si>
  <si>
    <t>[REVIEW]  Programme code "SEB1101" is structured like a course code (subject letters + 4-digit number).  The fee structure is identical to the canonical engineering programme ("BEE-BCE"). Likely root cause: a course code was mistakenly entered as a programme code in the EMIS.  Recommended action: BEFORE updating fees, verify with the registrar whether this is a legitimate programme. If not, mark Inactive and migrate any enrolled students to the canonical "BEE" / "BCE" / "BPA" programme.  If it IS a legitimate programme, update its fees with the figures in this row (legacy template BEE-BCE).</t>
  </si>
  <si>
    <t>ADVANCED CERTIFICATE IN BUSINESS ADMINISTRATION</t>
  </si>
  <si>
    <t>ACBA</t>
  </si>
  <si>
    <t>FACULTY OF BUSINESS AND MANAGEMENT   |   No new-format match — figures left as in current system</t>
  </si>
  <si>
    <t>[PRESERVE]  There is no matching template in the legacy "new format" tab for programme "ACBA".  Action: KEEP the figures already in this row (these are the values currently held by the system). Do not import any "legacy" values — none exist for this programme.  Programme category: 1-year certificate.  Do NOT change programme code, programme name, status, or faculty.</t>
  </si>
  <si>
    <t>BACHELOR OF BUSINESS ADMINISTRATION</t>
  </si>
  <si>
    <t>BBA</t>
  </si>
  <si>
    <t>FACULTY OF BUSINESS AND MANAGEMENT</t>
  </si>
  <si>
    <t>[VERIFY]  No figure changes needed for programme "BBA". Production figures should already equal the figures in this row (they were already aligned with the legacy template "BBC").  Recommended action: cross-check that production matches these figures; if they differ, treat as a drift and overwrite production with the figures here.  Do NOT change programme code, programme name, status, or faculty.</t>
  </si>
  <si>
    <t>BACHELOR OF BUSINESS COMPUTING</t>
  </si>
  <si>
    <t>BBC</t>
  </si>
  <si>
    <t>[VERIFY]  No figure changes needed for programme "BBC". Production figures should already equal the figures in this row (they were already aligned with the legacy template "BIT").  Recommended action: cross-check that production matches these figures; if they differ, treat as a drift and overwrite production with the figures here.  Do NOT change programme code, programme name, status, or faculty.</t>
  </si>
  <si>
    <t>BACHELOR OF BUSINESS MANAGEMENT</t>
  </si>
  <si>
    <t>BBM</t>
  </si>
  <si>
    <t>FACULTY OF BUSINESS AND MANAGEMENT   |   Figures updated from new format → BBC  (Y2S1_FUNC: 767,000→687,000)</t>
  </si>
  <si>
    <t>[UPDATE]  Replace the fee structure for programme code "BBM" with the figures in this row.  Source of truth: legacy template "BBC" (new format tab).  Diff vs current system: BBC  (Y2S1_FUNC: 767,000→687,000)  Persist YEAR 1 + YEAR 2 + YEAR 3 figures only. YEAR 4 is "—" / empty and must NOT be persisted.  Do NOT change the programme code, programme name, status, or faculty in production. Only the per-semester TUI and FUNC amounts (and the YR TOTAL / GRAND TOTAL they sum to) should be overwritten.</t>
  </si>
  <si>
    <t>BACHELOR OF COMMERCE</t>
  </si>
  <si>
    <t>BCOM</t>
  </si>
  <si>
    <t>[UPDATE]  Replace the fee structure for programme code "BCOM" with the figures in this row.  Source of truth: legacy template "BBC" (new format tab).  Diff vs current system: BBC  (Y2S1_FUNC: 767,000→687,000)  Persist YEAR 1 + YEAR 2 + YEAR 3 figures only. YEAR 4 is "—" / empty and must NOT be persisted.  Do NOT change the programme code, programme name, status, or faculty in production. Only the per-semester TUI and FUNC amounts (and the YR TOTAL / GRAND TOTAL they sum to) should be overwritten.</t>
  </si>
  <si>
    <t>BACHELOR OF ENTREPRENEURSHIP AND MANAGEMENT</t>
  </si>
  <si>
    <t>BEM</t>
  </si>
  <si>
    <t>[VERIFY]  No figure changes needed for programme "BEM". Production figures should already equal the figures in this row (they were already aligned with the legacy template "BBC").  Recommended action: cross-check that production matches these figures; if they differ, treat as a drift and overwrite production with the figures here.  Do NOT change programme code, programme name, status, or faculty.</t>
  </si>
  <si>
    <t>BACHELOR OF ECONOMICS AND STATISTICS</t>
  </si>
  <si>
    <t>BES</t>
  </si>
  <si>
    <t>[VERIFY]  No figure changes needed for programme "BES". Production figures should already equal the figures in this row (they were already aligned with the legacy template "BBC").  Recommended action: cross-check that production matches these figures; if they differ, treat as a drift and overwrite production with the figures here.  Do NOT change programme code, programme name, status, or faculty.</t>
  </si>
  <si>
    <t>BACHELOR OF HUMAN RESOURCE MANAGEMENT</t>
  </si>
  <si>
    <t>BHRM</t>
  </si>
  <si>
    <t>[UPDATE]  Replace the fee structure for programme code "BHRM" with the figures in this row.  Source of truth: legacy template "BBC" (new format tab).  Diff vs current system: BBC  (Y2S1_FUNC: 767,000→687,000)  Persist YEAR 1 + YEAR 2 + YEAR 3 figures only. YEAR 4 is "—" / empty and must NOT be persisted.  Do NOT change the programme code, programme name, status, or faculty in production. Only the per-semester TUI and FUNC amounts (and the YR TOTAL / GRAND TOTAL they sum to) should be overwritten.</t>
  </si>
  <si>
    <t>BACHELOR OF MICRO FINANCE</t>
  </si>
  <si>
    <t>BMF</t>
  </si>
  <si>
    <t>[VERIFY]  No figure changes needed for programme "BMF". Production figures should already equal the figures in this row (they were already aligned with the legacy template "BBC").  Recommended action: cross-check that production matches these figures; if they differ, treat as a drift and overwrite production with the figures here.  Do NOT change programme code, programme name, status, or faculty.</t>
  </si>
  <si>
    <t>BACHELOR OF MARKETING MANAGEMENT</t>
  </si>
  <si>
    <t>BMM</t>
  </si>
  <si>
    <t>[VERIFY]  No figure changes needed for programme "BMM". Production figures should already equal the figures in this row (they were already aligned with the legacy template "BBC").  Recommended action: cross-check that production matches these figures; if they differ, treat as a drift and overwrite production with the figures here.  Do NOT change programme code, programme name, status, or faculty.</t>
  </si>
  <si>
    <t>BACHELOR OF OFFICE MANAGEMENT AND TECHNOLOGY</t>
  </si>
  <si>
    <t>BOMT</t>
  </si>
  <si>
    <t>FACULTY OF BUSINESS AND MANAGEMENT  —  Capitalised to match sibling-programme convention</t>
  </si>
  <si>
    <t>[VERIFY]  No figure changes needed for programme "BOMT". Production figures should already equal the figures in this row (they were already aligned with the legacy template "BBC").  Recommended action: cross-check that production matches these figures; if they differ, treat as a drift and overwrite production with the figures here.  Do NOT change programme code, programme name, status, or faculty.</t>
  </si>
  <si>
    <t>BACHELOR OF PUBLIC ADMINISTRATION</t>
  </si>
  <si>
    <t>[UPDATE]  Replace the fee structure for programme code "BPA" with the figures in this row.  Source of truth: legacy template "BBC" (new format tab).  Diff vs current system: BBC  (Y2S1_FUNC: 767,000→687,000)  Persist YEAR 1 + YEAR 2 + YEAR 3 figures only. YEAR 4 is "—" / empty and must NOT be persisted.  Do NOT change the programme code, programme name, status, or faculty in production. Only the per-semester TUI and FUNC amounts (and the YR TOTAL / GRAND TOTAL they sum to) should be overwritten.</t>
  </si>
  <si>
    <t>BACHELOR OF PROCUREMENT AND LOGISTICS MANAGEMENT</t>
  </si>
  <si>
    <t>BPLM</t>
  </si>
  <si>
    <t>FACULTY OF BUSINESS AND MANAGEMENT   |   Figures updated from new format → BBC  (Y2S1_FUNC: 767,000→687,000; Y3S1_FUNC: 669,000→663,000; Y3S2_FUNC: 939,000→933,000)</t>
  </si>
  <si>
    <t>[UPDATE]  Replace the fee structure for programme code "BPLM" with the figures in this row.  Source of truth: legacy template "BBC" (new format tab).  Diff vs current system: BBC  (Y2S1_FUNC: 767,000→687,000; Y3S1_FUNC: 669,000→663,000; Y3S2_FUNC: 939,000→933,000)  Persist YEAR 1 + YEAR 2 + YEAR 3 figures only. YEAR 4 is "—" / empty and must NOT be persisted.  Do NOT change the programme code, programme name, status, or faculty in production. Only the per-semester TUI and FUNC amounts (and the YR TOTAL / GRAND TOTAL they sum to) should be overwritten.</t>
  </si>
  <si>
    <t>BACHELOR OF PROJECT PLANNING AND MANAGEMENT</t>
  </si>
  <si>
    <t>BPPM</t>
  </si>
  <si>
    <t>[VERIFY]  No figure changes needed for programme "BPPM". Production figures should already equal the figures in this row (they were already aligned with the legacy template "BBC").  Recommended action: cross-check that production matches these figures; if they differ, treat as a drift and overwrite production with the figures here.  Do NOT change programme code, programme name, status, or faculty.</t>
  </si>
  <si>
    <t>BACHELOR OF PUBLIC RELATIONS MANAGEMENT</t>
  </si>
  <si>
    <t>BPRM</t>
  </si>
  <si>
    <t>FACULTY OF BUSINESS AND MANAGEMENT   |   Figures updated from new format → BMC  (Y2S1_FUNC: 887,000→807,000)</t>
  </si>
  <si>
    <t>[UPDATE]  Replace the fee structure for programme code "BPRM" with the figures in this row.  Source of truth: legacy template "BMC" (new format tab).  Diff vs current system: BMC  (Y2S1_FUNC: 887,000→807,000)  Persist YEAR 1 + YEAR 2 + YEAR 3 figures only. YEAR 4 is "—" / empty and must NOT be persisted.  Do NOT change the programme code, programme name, status, or faculty in production. Only the per-semester TUI and FUNC amounts (and the YR TOTAL / GRAND TOTAL they sum to) should be overwritten.</t>
  </si>
  <si>
    <t>BACHELOR OF SCIENCE IN ACCOUNTING AND FINANCE</t>
  </si>
  <si>
    <t>BSAF</t>
  </si>
  <si>
    <t>[UPDATE]  Replace the fee structure for programme code "BSAF" with the figures in this row.  Source of truth: legacy template "BBC" (new format tab).  Diff vs current system: BBC  (Y2S1_FUNC: 767,000→687,000)  Persist YEAR 1 + YEAR 2 + YEAR 3 figures only. YEAR 4 is "—" / empty and must NOT be persisted.  Do NOT change the programme code, programme name, status, or faculty in production. Only the per-semester TUI and FUNC amounts (and the YR TOTAL / GRAND TOTAL they sum to) should be overwritten.</t>
  </si>
  <si>
    <t>BACHELOR OF SCIENCE IN DEVELOPMENT ECONOMICS</t>
  </si>
  <si>
    <t>BSDE</t>
  </si>
  <si>
    <t>[VERIFY]  No figure changes needed for programme "BSDE". Production figures should already equal the figures in this row (they were already aligned with the legacy template "BBC").  Recommended action: cross-check that production matches these figures; if they differ, treat as a drift and overwrite production with the figures here.  Do NOT change programme code, programme name, status, or faculty.</t>
  </si>
  <si>
    <t>BACHELOR OF SECRETARIAL MANAGEMENT</t>
  </si>
  <si>
    <t>BSM</t>
  </si>
  <si>
    <t>[UPDATE]  Replace the fee structure for programme code "BSM" with the figures in this row.  Source of truth: legacy template "BBC" (new format tab).  Diff vs current system: BBC  (Y2S1_FUNC: 767,000→687,000)  Persist YEAR 1 + YEAR 2 + YEAR 3 figures only. YEAR 4 is "—" / empty and must NOT be persisted.  Do NOT change the programme code, programme name, status, or faculty in production. Only the per-semester TUI and FUNC amounts (and the YR TOTAL / GRAND TOTAL they sum to) should be overwritten.</t>
  </si>
  <si>
    <t>BACHELOR OF SCIENCE IN PROJECT MANAGEMENT</t>
  </si>
  <si>
    <t>BSPM</t>
  </si>
  <si>
    <t>[VERIFY]  No figure changes needed for programme "BSPM". Production figures should already equal the figures in this row (they were already aligned with the legacy template "BBC").  Recommended action: cross-check that production matches these figures; if they differ, treat as a drift and overwrite production with the figures here.  Do NOT change programme code, programme name, status, or faculty.</t>
  </si>
  <si>
    <t>DIPLOMA IN AGRO-BUSINESS</t>
  </si>
  <si>
    <t>DAB</t>
  </si>
  <si>
    <t>FACULTY OF BUSINESS AND MANAGEMENT  —  Normalised hyphen spacing</t>
  </si>
  <si>
    <t>[VERIFY]  No figure changes needed for programme "DAB".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</si>
  <si>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DIPLOMA IN ACCOUNTING AND FINANCE</t>
  </si>
  <si>
    <t>DAF</t>
  </si>
  <si>
    <t>[VERIFY]  No figure changes needed for programme "DAF".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</si>
  <si>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DIPLOMA IN BUSINESS ADMINISTRATION</t>
  </si>
  <si>
    <t>DBA</t>
  </si>
  <si>
    <t>[VERIFY]  No figure changes needed for programme "DBA".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</si>
  <si>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DIPLOMA IN BUSINESS COMPUTING</t>
  </si>
  <si>
    <t>DBC</t>
  </si>
  <si>
    <t>[VERIFY]  No figure changes needed for programme "DBC". Production figures should already equal the figures in this row (they were already aligned with the legacy template "DIT").  Recommended action: cross-check that production matches these figures; if they differ, treat as a drift and overwrite production with the figures here.  Do NOT change programme code, programme name, status, or faculty.</t>
  </si>
  <si>
    <t>DIPLOMA IN BUSINESS MANAGEMENT</t>
  </si>
  <si>
    <t>DBM</t>
  </si>
  <si>
    <t>[VERIFY]  No figure changes needed for programme "DBM".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</si>
  <si>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DIPLOMA IN HUMAN RESOURCE MANAGEMENT</t>
  </si>
  <si>
    <t>DHRM</t>
  </si>
  <si>
    <t>[VERIFY]  No figure changes needed for programme "DHRM".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</si>
  <si>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DIPLOMA IN MARKETING</t>
  </si>
  <si>
    <t>DM</t>
  </si>
  <si>
    <t>[VERIFY]  No figure changes needed for programme "DM".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</si>
  <si>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DIPLOMA IN PUBLIC ADMINISTRATION</t>
  </si>
  <si>
    <t>DPA</t>
  </si>
  <si>
    <t>[VERIFY]  No figure changes needed for programme "DPA".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</si>
  <si>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DIPLOMA IN PROCUREMENT AND LOGISTICS MANAGEMENT</t>
  </si>
  <si>
    <t>DPLM</t>
  </si>
  <si>
    <t>[VERIFY]  No figure changes needed for programme "DPLM".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</si>
  <si>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DIPLOMA IN PUBLIC RELATIONS</t>
  </si>
  <si>
    <t>DPR</t>
  </si>
  <si>
    <t>[VERIFY]  No figure changes needed for programme "DPR".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</si>
  <si>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DIPLOMA IN SECRETARIAL AND MANAGEMENT</t>
  </si>
  <si>
    <t>DSM</t>
  </si>
  <si>
    <t>[VERIFY]  No figure changes needed for programme "DSM".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</si>
  <si>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DIPLOMA IN SECRETARIAL STUDIES (DSS)</t>
  </si>
  <si>
    <t>DSS</t>
  </si>
  <si>
    <t>[VERIFY]  No figure changes needed for programme "DSS".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</si>
  <si>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MASTER OF BUSINESS ADMINISTRATION</t>
  </si>
  <si>
    <t>MBA</t>
  </si>
  <si>
    <t>[PRESERVE]  There is no matching template in the legacy "new format" tab for programme "MBA".  Action: KEEP the figures already in this row (these are the values currently held by the system). Do not import any "legacy" values — none exist for this programme.  Programme category: Postgraduate / Masters.  Do NOT change programme code, programme name, status, or faculty.</t>
  </si>
  <si>
    <t>MASTER OF PUBLIC ADMINISTRATION AND MANAGEMENT</t>
  </si>
  <si>
    <t>MPAM</t>
  </si>
  <si>
    <t>[PRESERVE]  There is no matching template in the legacy "new format" tab for programme "MPAM".  Action: KEEP the figures already in this row (these are the values currently held by the system). Do not import any "legacy" values — none exist for this programme.  Programme category: Postgraduate / Masters.  Do NOT change programme code, programme name, status, or faculty.</t>
  </si>
  <si>
    <t>POSTGRADUATE DIPLOMA IN BUSINESS ADMINISTRATION</t>
  </si>
  <si>
    <t>PGD</t>
  </si>
  <si>
    <t>[PRESERVE]  There is no matching template in the legacy "new format" tab for programme "PGD".  Action: KEEP the figures already in this row (these are the values currently held by the system). Do not import any "legacy" values — none exist for this programme.  Programme category: 1-year certificate.  Do NOT change programme code, programme name, status, or faculty.</t>
  </si>
  <si>
    <t>POSTGRADUATE DIPLOMA IN PUBLIC ADMINISTRATION &amp; MANAGEMENT</t>
  </si>
  <si>
    <t>PGDPAM</t>
  </si>
  <si>
    <t>[PRESERVE]  There is no matching template in the legacy "new format" tab for programme "PGDPAM".  Action: KEEP the figures already in this row (these are the values currently held by the system). Do not import any "legacy" values — none exist for this programme.  Programme category: 1-year certificate.  Do NOT change programme code, programme name, status, or faculty.</t>
  </si>
  <si>
    <t>PROCUREMENT AND STORES MANAGEMENT</t>
  </si>
  <si>
    <t>PSM</t>
  </si>
  <si>
    <t>[PRESERVE]  There is no matching template in the legacy "new format" tab for programme "PSM".  Action: KEEP the figures already in this row (these are the values currently held by the system). Do not import any "legacy" values — none exist for this programme.  Programme category: 1-year certificate.  Do NOT change programme code, programme name, status, or faculty.</t>
  </si>
  <si>
    <t>BACHELOR OF ARTS WITH EDUCATION</t>
  </si>
  <si>
    <t>BAED</t>
  </si>
  <si>
    <t>FACULTY OF EDUCATION</t>
  </si>
  <si>
    <t>[VERIFY]  No figure changes needed for programme "BAED". Production figures should already equal the figures in this row (they were already aligned with the legacy template "BAED").  Recommended action: cross-check that production matches these figures; if they differ, treat as a drift and overwrite production with the figures here.  Do NOT change programme code, programme name, status, or faculty.</t>
  </si>
  <si>
    <t>BACHELOR OF BUSINESS EDUCATION</t>
  </si>
  <si>
    <t>BBE</t>
  </si>
  <si>
    <t>[VERIFY]  No figure changes needed for programme "BBE". Production figures should already equal the figures in this row (they were already aligned with the legacy template "BBC").  Recommended action: cross-check that production matches these figures; if they differ, treat as a drift and overwrite production with the figures here.  Do NOT change programme code, programme name, status, or faculty.</t>
  </si>
  <si>
    <t>BACHELOR OF BUSINESS EDUCATION(INSERVICE)</t>
  </si>
  <si>
    <t>BBEI</t>
  </si>
  <si>
    <t>[VERIFY]  No figure changes needed for programme "BBEI". Production figures should already equal the figures in this row (they were already aligned with the legacy template "BED-INS").  Recommended action: cross-check that production matches these figures; if they differ, treat as a drift and overwrite production with the figures here.  Do NOT change programme code, programme name, status, or faculty.</t>
  </si>
  <si>
    <t>BACHELOR OF EDUCATION IN EARLY CHILDHOOD DEVELOPMENT</t>
  </si>
  <si>
    <t>BECD</t>
  </si>
  <si>
    <t>FACULTY OF EDUCATION   |   Figures updated from new format → BECD  (Y1S2_FUNC: 877,000→677,000; Y2S2_FUNC: 933,000→853,000)</t>
  </si>
  <si>
    <t>[UPDATE]  Replace the fee structure for programme code "BECD" with the figures in this row.  Source of truth: legacy template "BECD" (new format tab).  Diff vs current system: BECD  (Y1S2_FUNC: 877,000→677,000; Y2S2_FUNC: 933,000→853,000)  Persist YEAR 1 + YEAR 2 + YEAR 3 figures only. YEAR 4 is "—" / empty and must NOT be persisted.  Do NOT change the programme code, programme name, status, or faculty in production. Only the per-semester TUI and FUNC amounts (and the YR TOTAL / GRAND TOTAL they sum to) should be overwritten.</t>
  </si>
  <si>
    <t>BACHELOR OF EDUCATION IN EARLY CHILD HOOD DEVELOPMENT</t>
  </si>
  <si>
    <t>BED(ECD)</t>
  </si>
  <si>
    <t>FACULTY OF EDUCATION   |   Figures updated from new format → BED-INS  (Y2S2_FUNC: 264,000→154,000; Y2S3_FUNC: 264,000→154,000; Y3S2_FUNC: 344,000→154,000; Y3S3_FUNC: 344,000→234,000)</t>
  </si>
  <si>
    <t>[UPDATE]  Replace the fee structure for programme code "BED(ECD)" with the figures in this row.  Source of truth: legacy template "BED-INS" (new format tab).  Diff vs current system: BED-INS  (Y2S2_FUNC: 264,000→154,000; Y2S3_FUNC: 264,000→154,000; Y3S2_FUNC: 344,000→154,000; Y3S3_FUNC: 344,000→234,000)  Persist YEAR 1 + YEAR 2 + YEAR 3 figures only. YEAR 4 is "—" / empty and must NOT be persisted.  Do NOT change the programme code, programme name, status, or faculty in production. Only the per-semester TUI and FUNC amounts (and the YR TOTAL / GRAND TOTAL they sum to) should be overwritten.</t>
  </si>
  <si>
    <t>BACHELOR OF EDUCATION (PRIMARY)</t>
  </si>
  <si>
    <t>BED(P)</t>
  </si>
  <si>
    <t>[VERIFY]  No figure changes needed for programme "BED(P)". Production figures should already equal the figures in this row (they were already aligned with the legacy template "BED-INS").  Recommended action: cross-check that production matches these figures; if they differ, treat as a drift and overwrite production with the figures here.  Do NOT change programme code, programme name, status, or faculty.</t>
  </si>
  <si>
    <t>BACHELOR OF EDUCATION (SECONDARY)</t>
  </si>
  <si>
    <t>BED(S)</t>
  </si>
  <si>
    <t>[VERIFY]  No figure changes needed for programme "BED(S)". Production figures should already equal the figures in this row (they were already aligned with the legacy template "BED-INS").  Recommended action: cross-check that production matches these figures; if they differ, treat as a drift and overwrite production with the figures here.  Do NOT change programme code, programme name, status, or faculty.</t>
  </si>
  <si>
    <t>BACHELOR OF EDUCATION WITH ICT</t>
  </si>
  <si>
    <t>BEICT</t>
  </si>
  <si>
    <t>[VERIFY]  No figure changes needed for programme "BEICT". Production figures should already equal the figures in this row (they were already aligned with the legacy template "BEICT").  Recommended action: cross-check that production matches these figures; if they differ, treat as a drift and overwrite production with the figures here.  Do NOT change programme code, programme name, status, or faculty.</t>
  </si>
  <si>
    <t>BACHELOR OF SCIENCE WITH EDUCATION</t>
  </si>
  <si>
    <t>BSCED</t>
  </si>
  <si>
    <t>[VERIFY]  No figure changes needed for programme "BSCED". Production figures should already equal the figures in this row (they were already aligned with the legacy template "BBC").  Recommended action: cross-check that production matches these figures; if they differ, treat as a drift and overwrite production with the figures here.  Do NOT change programme code, programme name, status, or faculty.</t>
  </si>
  <si>
    <t>BSCEDU</t>
  </si>
  <si>
    <t>FACULTY OF EDUCATION  —  Duplicate name 'BACHELOR OF SCIENCE WITH EDUCATION' — see BSCED</t>
  </si>
  <si>
    <t>[REVIEW]  Programme "BSCEDU" has the same official name as another programme already in the system.  Recommended action: confirm with the registrar whether this is a duplicate record. If yes, deactivate this row and route enrolments to the canonical record.</t>
  </si>
  <si>
    <t>BACHELOR OF EDUCATION  VOCATIONAL STUDIES</t>
  </si>
  <si>
    <t>BVS</t>
  </si>
  <si>
    <t>FACULTY OF EDUCATION   |   Figures updated from new format → BVSE  (Y3S2_FUNC: 1,151,250→951,250)</t>
  </si>
  <si>
    <t>[UPDATE]  Replace the fee structure for programme code "BVS" with the figures in this row.  Source of truth: legacy template "BVSE" (new format tab).  Diff vs current system: BVSE  (Y3S2_FUNC: 1,151,250→951,250)  Persist YEAR 1 + YEAR 2 + YEAR 3 figures only. YEAR 4 is "—" / empty and must NOT be persisted.  Do NOT change the programme code, programme name, status, or faculty in production. Only the per-semester TUI and FUNC amounts (and the YR TOTAL / GRAND TOTAL they sum to) should be overwritten.</t>
  </si>
  <si>
    <t>DIPLOMA ART AND DESIGN WITH EDUCATION</t>
  </si>
  <si>
    <t>DADE/A</t>
  </si>
  <si>
    <t>[VERIFY]  No figure changes needed for programme "DADE/A". Production figures should already equal the figures in this row (they were already aligned with the legacy template "DAD-DFD").  Recommended action: cross-check that production matches these figures; if they differ, treat as a drift and overwrite production with the figures here.  Do NOT change programme code, programme name, status, or faculty.</t>
  </si>
  <si>
    <t>DIPLOMA IN EARLY CHILD DEVELOPMENT</t>
  </si>
  <si>
    <t>DECD</t>
  </si>
  <si>
    <t>FACULTY OF EDUCATION  —  Uppercased code to match convention   |   Figures updated from new format → DECD  (Y1S2_FUNC: 677,000→877,000)</t>
  </si>
  <si>
    <t>[UPDATE]  Replace the fee structure for programme code "DECD" with the figures in this row.  Source of truth: legacy template "DECD" (new format tab).  Diff vs current system: DECD  (Y1S2_FUNC: 677,000→877,000)  Persist YEAR 1 + YEAR 2 figures only. YEAR 4 is "—" / empty and must NOT be persisted.  Do NOT change the programme code, programme name, status, or faculty in production. Only the per-semester TUI and FUNC amounts (and the YR TOTAL / GRAND TOTAL they sum to) should be overwritten.</t>
  </si>
  <si>
    <t>DIPLOMA IN EDUCATION SECONDARY</t>
  </si>
  <si>
    <t>DES</t>
  </si>
  <si>
    <t>[VERIFY]  No figure changes needed for programme "DES". Production figures should already equal the figures in this row (they were already aligned with the legacy template "DPE-DECE").  Recommended action: cross-check that production matches these figures; if they differ, treat as a drift and overwrite production with the figures here.  Do NOT change programme code, programme name, status, or faculty.</t>
  </si>
  <si>
    <t>DIPLOMA IN PRIMARY EDUCATION</t>
  </si>
  <si>
    <t>DPE</t>
  </si>
  <si>
    <t>[VERIFY]  No figure changes needed for programme "DPE". Production figures should already equal the figures in this row (they were already aligned with the legacy template "DPE-DECE").  Recommended action: cross-check that production matches these figures; if they differ, treat as a drift and overwrite production with the figures here.  Do NOT change programme code, programme name, status, or faculty.</t>
  </si>
  <si>
    <t>DIPLOMA IN SECONDARY EDUCATION</t>
  </si>
  <si>
    <t>DSE</t>
  </si>
  <si>
    <t>[VERIFY]  No figure changes needed for programme "DSE". Production figures should already equal the figures in this row (they were already aligned with the legacy template "DPE-DECE").  Recommended action: cross-check that production matches these figures; if they differ, treat as a drift and overwrite production with the figures here.  Do NOT change programme code, programme name, status, or faculty.</t>
  </si>
  <si>
    <t>DIPLOMA IN SECONDARY EDUCATION (ART DOUBLE MAIN)</t>
  </si>
  <si>
    <t>DSE/A</t>
  </si>
  <si>
    <t>[VERIFY]  No figure changes needed for programme "DSE/A". Production figures should already equal the figures in this row (they were already aligned with the legacy template "DPE-DECE").  Recommended action: cross-check that production matches these figures; if they differ, treat as a drift and overwrite production with the figures here.  Do NOT change programme code, programme name, status, or faculty.</t>
  </si>
  <si>
    <t>DIPLOMA IN SECONDARY EDUCATION VOCATIONAL STUDIES</t>
  </si>
  <si>
    <t>DVS</t>
  </si>
  <si>
    <t>FACULTY OF EDUCATION  —  Restored truncated 'STUDIE' → 'STUDIES'</t>
  </si>
  <si>
    <t>[VERIFY]  No figure changes needed for programme "DVS". Production figures should already equal the figures in this row (they were already aligned with the legacy template "DPE-DECE").  Recommended action: cross-check that production matches these figures; if they differ, treat as a drift and overwrite production with the figures here.  Do NOT change programme code, programme name, status, or faculty.</t>
  </si>
  <si>
    <t>HIGHER EDUCATION CERTIFICATE</t>
  </si>
  <si>
    <t>HEC</t>
  </si>
  <si>
    <t>FACULTY OF EDUCATION   |   No new-format match — figures left as in current system</t>
  </si>
  <si>
    <t>[PRESERVE]  There is no matching template in the legacy "new format" tab for programme "HEC".  Action: KEEP the figures already in this row (these are the values currently held by the system). Do not import any "legacy" values — none exist for this programme.  Programme category: 1-year certificate.  Do NOT change programme code, programme name, status, or faculty.</t>
  </si>
  <si>
    <t>MASTER OF EDUCATION MANAGEMENT AND ADMINISTRATION</t>
  </si>
  <si>
    <t>MEMA</t>
  </si>
  <si>
    <t>[PRESERVE]  There is no matching template in the legacy "new format" tab for programme "MEMA".  Action: KEEP the figures already in this row (these are the values currently held by the system). Do not import any "legacy" values — none exist for this programme.  Programme category: Postgraduate / Masters.  Do NOT change programme code, programme name, status, or faculty.</t>
  </si>
  <si>
    <t>TES PROGRAM</t>
  </si>
  <si>
    <t>TEST</t>
  </si>
  <si>
    <t>FACULTY OF EDUCATION  —  Placeholder / test record — should likely be marked Inactive   |   No new-format match — figures left as in current system</t>
  </si>
  <si>
    <t>[REVIEW]  Programme "TEST" ("TES PROGRAM") looks like a test / placeholder record. Do NOT import its fees into production without confirmation from a human reviewer.  If confirmed as a real programme, status should likely flip to Inactive unless a finance owner authorises it.</t>
  </si>
  <si>
    <t>BACHELOR OF SCIENCE IN CIVIL ENGINEERING</t>
  </si>
  <si>
    <t>BCE</t>
  </si>
  <si>
    <t>FACULTY OF SCIENCE, TECHNOLOGY, ENGINEERING, ART AND DESIGN   |   Figures updated from new format → BEE-BCE  (Y2S1_FUNC: 1,402,000→1,322,000; Y4S1_TUI: 0→1,455,000; Y4S1_FUNC: 0→1,298,000; Y4S2_TUI: 0→1,455,000; Y4S2_FUNC: 0→1,568,000)</t>
  </si>
  <si>
    <t>[UPDATE]  Replace the fee structure for programme code "BCE" with the figures in this row.  Source of truth: legacy template "BEE-BCE" (new format tab).  Diff vs current system: BEE-BCE  (Y2S1_FUNC: 1,402,000→1,322,000; Y4S1_TUI: 0→1,455,000; Y4S1_FUNC: 0→1,298,000; Y4S2_TUI: 0→1,455,000; Y4S2_FUNC: 0→1,568,000)  This is a 4-year programme. Persist YEAR 1, YEAR 2, YEAR 3 AND YEAR 4 figures. YR 4 was missing in the current system export — it is now populated from new format.  Do NOT change the programme code, programme name, status, or faculty in production. Only the per-semester TUI and FUNC amounts (and the YR TOTAL / GRAND TOTAL they sum to) should be overwritten.</t>
  </si>
  <si>
    <t>BRICKLAYING AND CONCRETE PRACTICE</t>
  </si>
  <si>
    <t>BCP</t>
  </si>
  <si>
    <t>FACULTY OF SCIENCE, TECHNOLOGY, ENGINEERING, ART AND DESIGN</t>
  </si>
  <si>
    <t>[VERIFY]  No figure changes needed for programme "BCP".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</si>
  <si>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BACHELOR OF COMPUTER SCIENCE</t>
  </si>
  <si>
    <t>BCS</t>
  </si>
  <si>
    <t>[VERIFY]  No figure changes needed for programme "BCS". Production figures should already equal the figures in this row (they were already aligned with the legacy template "BIT").  Recommended action: cross-check that production matches these figures; if they differ, treat as a drift and overwrite production with the figures here.  Do NOT change programme code, programme name, status, or faculty.</t>
  </si>
  <si>
    <t>BEE</t>
  </si>
  <si>
    <t>FACULTY OF SCIENCE, TECHNOLOGY, ENGINEERING, ART AND DESIGN   |   Figures updated from new format → BEE-BCE  (Y2S1_FUNC: 1,402,000→1,322,000; Y3S1_FUNC: 1,402,000→1,298,000; Y4S1_TUI: 0→1,455,000; Y4S1_FUNC: 0→1,298,000; Y4S2_TUI: 0→1,455,000 (+1))</t>
  </si>
  <si>
    <t>[UPDATE]  Replace the fee structure for programme code "BEE" with the figures in this row.  Source of truth: legacy template "BEE-BCE" (new format tab).  Diff vs current system: BEE-BCE  (Y2S1_FUNC: 1,402,000→1,322,000; Y3S1_FUNC: 1,402,000→1,298,000; Y4S1_TUI: 0→1,455,000; Y4S1_FUNC: 0→1,298,000; Y4S2_TUI: 0→1,455,000 (+1))  This is a 4-year programme. Persist YEAR 1, YEAR 2, YEAR 3 AND YEAR 4 figures. YR 4 was missing in the current system export — it is now populated from new format.  Do NOT change the programme code, programme name, status, or faculty in production. Only the per-semester TUI and FUNC amounts (and the YR TOTAL / GRAND TOTAL they sum to) should be overwritten.</t>
  </si>
  <si>
    <t>BACHELOR OF INDUSTRIAL ART AND DESIGN</t>
  </si>
  <si>
    <t>BIFA</t>
  </si>
  <si>
    <t>[VERIFY]  No figure changes needed for programme "BIFA". Production figures should already equal the figures in this row (they were already aligned with the legacy template "BIFA").  Recommended action: cross-check that production matches these figures; if they differ, treat as a drift and overwrite production with the figures here.  Do NOT change programme code, programme name, status, or faculty.</t>
  </si>
  <si>
    <t>BACHELOR OF INFORMATION TECHNOLOGY</t>
  </si>
  <si>
    <t>BIT</t>
  </si>
  <si>
    <t>[VERIFY]  No figure changes needed for programme "BIT". Production figures should already equal the figures in this row (they were already aligned with the legacy template "BIT").  Recommended action: cross-check that production matches these figures; if they differ, treat as a drift and overwrite production with the figures here.  Do NOT change programme code, programme name, status, or faculty.</t>
  </si>
  <si>
    <t>BACHELOR OF LIBRARY AND INFORMATION SCIENCE</t>
  </si>
  <si>
    <t>BLIS</t>
  </si>
  <si>
    <t>[VERIFY]  No figure changes needed for programme "BLIS". Production figures should already equal the figures in this row (they were already aligned with the legacy template "BBC").  Recommended action: cross-check that production matches these figures; if they differ, treat as a drift and overwrite production with the figures here.  Do NOT change programme code, programme name, status, or faculty.</t>
  </si>
  <si>
    <t>BACHELOR OF SCIENCE IN SOFTWARE ENGINEERING</t>
  </si>
  <si>
    <t>BSE</t>
  </si>
  <si>
    <t>[VERIFY]  No figure changes needed for programme "BSE". Production figures should already equal the figures in this row (they were already aligned with the legacy template "BIT").  Recommended action: cross-check that production matches these figures; if they differ, treat as a drift and overwrite production with the figures here.  Do NOT change programme code, programme name, status, or faculty.</t>
  </si>
  <si>
    <t>CAD</t>
  </si>
  <si>
    <t>FACULTY OF SCIENCE, TECHNOLOGY, ENGINEERING, ART AND DESIGN  —  Duplicate name 'ADVANCED CERTIFICATE IN ART AND DESIGN' — see ACAD   |   No new-format match — figures left as in current system</t>
  </si>
  <si>
    <t>[REVIEW]  Programme "CAD" has the same official name as another programme already in the system.  Recommended action: confirm with the registrar whether this is a duplicate record. If yes, deactivate this row and route enrolments to the canonical record.</t>
  </si>
  <si>
    <t>CERTIFICATE IN AUTOMOTIVE ELECTRO-MECHANICS</t>
  </si>
  <si>
    <t>CAEM</t>
  </si>
  <si>
    <t>[VERIFY]  No figure changes needed for programme "CAEM".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</si>
  <si>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CERTIFICATE IN  BRICK LAYING AND CONCRETE PRACTICE</t>
  </si>
  <si>
    <t>CBCP</t>
  </si>
  <si>
    <t>[VERIFY]  No figure changes needed for programme "CBCP".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</si>
  <si>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CERTIFICATE IN FASHION DESIGN</t>
  </si>
  <si>
    <t>CFD</t>
  </si>
  <si>
    <t>FACULTY OF SCIENCE, TECHNOLOGY, ENGINEERING, ART AND DESIGN   |   No new-format match — figures left as in current system</t>
  </si>
  <si>
    <t>[PRESERVE]  There is no matching template in the legacy "new format" tab for programme "CFD".  Action: KEEP the figures already in this row (these are the values currently held by the system). Do not import any "legacy" values — none exist for this programme.  Programme category: 1-year certificate.  Do NOT change programme code, programme name, status, or faculty.</t>
  </si>
  <si>
    <t>CERTIFICATE IN MECHANICAL ENGINEERING CRAFTSMANSHIP</t>
  </si>
  <si>
    <t>CMEC</t>
  </si>
  <si>
    <t>[VERIFY]  No figure changes needed for programme "CMEC".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</si>
  <si>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CERTIFICATE IN MOTOR VEHICLE TECHNOLOGY</t>
  </si>
  <si>
    <t>CMVT</t>
  </si>
  <si>
    <t>[VERIFY]  No figure changes needed for programme "CMVT".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</si>
  <si>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CERTIFICATE IN PLUMBING</t>
  </si>
  <si>
    <t>CP</t>
  </si>
  <si>
    <t>[VERIFY]  No figure changes needed for programme "CP".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</si>
  <si>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CERTIFICATE IN REFRIGERATION AND AIR CONDITIONING</t>
  </si>
  <si>
    <t>CRAC</t>
  </si>
  <si>
    <t>[VERIFY]  No figure changes needed for programme "CRAC".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</si>
  <si>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CERTIFICATE IN RADIO-TELEVISION ELECTRONICS</t>
  </si>
  <si>
    <t>CRTE</t>
  </si>
  <si>
    <t>FACULTY OF SCIENCE, TECHNOLOGY, ENGINEERING, ART AND DESIGN  —  Normalised hyphen spacing</t>
  </si>
  <si>
    <t>[VERIFY]  No figure changes needed for programme "CRTE".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</si>
  <si>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CERTIFICATE IN WELDING AND FABRICATIONS</t>
  </si>
  <si>
    <t>CWF</t>
  </si>
  <si>
    <t>[VERIFY]  No figure changes needed for programme "CWF".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</si>
  <si>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DIPLOMA IN ART AND DESIGN</t>
  </si>
  <si>
    <t>DAD</t>
  </si>
  <si>
    <t>[VERIFY]  No figure changes needed for programme "DAD". Production figures should already equal the figures in this row (they were already aligned with the legacy template "DAD-DFD").  Recommended action: cross-check that production matches these figures; if they differ, treat as a drift and overwrite production with the figures here.  Do NOT change programme code, programme name, status, or faculty.</t>
  </si>
  <si>
    <t>DIPLOMA IN AUTOMOBILE ENGINEERING</t>
  </si>
  <si>
    <t>DAE</t>
  </si>
  <si>
    <t>[VERIFY]  No figure changes needed for programme "DAE". Production figures should already equal the figures in this row (they were already aligned with the legacy template "DCE").  Recommended action: cross-check that production matches these figures; if they differ, treat as a drift and overwrite production with the figures here.  Do NOT change programme code, programme name, status, or faculty.</t>
  </si>
  <si>
    <t>DIPLOMA IN CIVIL ENGINEERING</t>
  </si>
  <si>
    <t>DCE</t>
  </si>
  <si>
    <t>[VERIFY]  No figure changes needed for programme "DCE". Production figures should already equal the figures in this row (they were already aligned with the legacy template "DCE").  Recommended action: cross-check that production matches these figures; if they differ, treat as a drift and overwrite production with the figures here.  Do NOT change programme code, programme name, status, or faculty.</t>
  </si>
  <si>
    <t>DIPLOMA IN ELECTRICAL ENGINEERING</t>
  </si>
  <si>
    <t>DEE</t>
  </si>
  <si>
    <t>[VERIFY]  No figure changes needed for programme "DEE". Production figures should already equal the figures in this row (they were already aligned with the legacy template "DEE").  Recommended action: cross-check that production matches these figures; if they differ, treat as a drift and overwrite production with the figures here.  Do NOT change programme code, programme name, status, or faculty.</t>
  </si>
  <si>
    <t>DIPLOMA IN FASHION DESIGN</t>
  </si>
  <si>
    <t>DFD</t>
  </si>
  <si>
    <t>[VERIFY]  No figure changes needed for programme "DFD". Production figures should already equal the figures in this row (they were already aligned with the legacy template "DAD-DFD").  Recommended action: cross-check that production matches these figures; if they differ, treat as a drift and overwrite production with the figures here.  Do NOT change programme code, programme name, status, or faculty.</t>
  </si>
  <si>
    <t>DIPLOMA IN INFORMATION TECHNOLOGY</t>
  </si>
  <si>
    <t>DIT</t>
  </si>
  <si>
    <t>[VERIFY]  No figure changes needed for programme "DIT". Production figures should already equal the figures in this row (they were already aligned with the legacy template "DIT").  Recommended action: cross-check that production matches these figures; if they differ, treat as a drift and overwrite production with the figures here.  Do NOT change programme code, programme name, status, or faculty.</t>
  </si>
  <si>
    <t>DIPLOMA IN LIBRARY AND INFORMATION SCIENCE</t>
  </si>
  <si>
    <t>DLIS</t>
  </si>
  <si>
    <t>[VERIFY]  No figure changes needed for programme "DLIS".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</si>
  <si>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DIPLOMA IN MECHANICAL ENGINEERING</t>
  </si>
  <si>
    <t>DME</t>
  </si>
  <si>
    <t>[VERIFY]  No figure changes needed for programme "DME". Production figures should already equal the figures in this row (they were already aligned with the legacy template "DME").  Recommended action: cross-check that production matches these figures; if they differ, treat as a drift and overwrite production with the figures here.  Do NOT change programme code, programme name, status, or faculty.</t>
  </si>
  <si>
    <t>DIPLOMA IN MOBILE PHONE REPAIRING  TECHNOLOGY</t>
  </si>
  <si>
    <t>DMPRT</t>
  </si>
  <si>
    <t>[VERIFY]  No figure changes needed for programme "DMPRT".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</si>
  <si>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DIPLOMA IN PHOTOGRAPHY</t>
  </si>
  <si>
    <t>DP</t>
  </si>
  <si>
    <t>[VERIFY]  No figure changes needed for programme "DP". Production figures should already equal the figures in this row (they were already aligned with the legacy template "DAD-DFD").  Recommended action: cross-check that production matches these figures; if they differ, treat as a drift and overwrite production with the figures here.  Do NOT change programme code, programme name, status, or faculty.</t>
  </si>
  <si>
    <t>DIPLOMA IN REFRIGERATION AND AIR CONDITIONING</t>
  </si>
  <si>
    <t>DRAC</t>
  </si>
  <si>
    <t>[VERIFY]  No figure changes needed for programme "DRAC". Production figures should already equal the figures in this row (they were already aligned with the legacy template "DCE").  Recommended action: cross-check that production matches these figures; if they differ, treat as a drift and overwrite production with the figures here.  Do NOT change programme code, programme name, status, or faculty.</t>
  </si>
  <si>
    <t>DIPLOMA IN WELDING AND FABRICATION</t>
  </si>
  <si>
    <t>DWF</t>
  </si>
  <si>
    <t>[VERIFY]  No figure changes needed for programme "DWF". Production figures should already equal the figures in this row (they were already aligned with the legacy template "DCE").  Recommended action: cross-check that production matches these figures; if they differ, treat as a drift and overwrite production with the figures here.  Do NOT change programme code, programme name, status, or faculty.</t>
  </si>
  <si>
    <t>HIGHER DIPLOMA IN CIVIL ENGINEERING</t>
  </si>
  <si>
    <t>HDCE</t>
  </si>
  <si>
    <t>[VERIFY]  No figure changes needed for programme "HDCE". Production figures should already equal the figures in this row (they were already aligned with the legacy template "DCE").  Recommended action: cross-check that production matches these figures; if they differ, treat as a drift and overwrite production with the figures here.  Do NOT change programme code, programme name, status, or faculty.</t>
  </si>
  <si>
    <t>MS-Office Package</t>
  </si>
  <si>
    <t>MSOP</t>
  </si>
  <si>
    <t>[PRESERVE]  There is no matching template in the legacy "new format" tab for programme "MSOP".  Action: KEEP the figures already in this row (these are the values currently held by the system). Do not import any "legacy" values — none exist for this programme.  Programme category: 1-year certificate.  Do NOT change programme code, programme name, status, or faculty.</t>
  </si>
  <si>
    <t>ADVANCED CERTIFICATE IN JOURNALISM</t>
  </si>
  <si>
    <t>ACJ</t>
  </si>
  <si>
    <t>FACULTY OF SOCIAL SCIENCES, ARTS AND HUMANITIES   |   No new-format match — figures left as in current system</t>
  </si>
  <si>
    <t>[PRESERVE]  There is no matching template in the legacy "new format" tab for programme "ACJ".  Action: KEEP the figures already in this row (these are the values currently held by the system). Do not import any "legacy" values — none exist for this programme.  Programme category: 1-year certificate.  Do NOT change programme code, programme name, status, or faculty.</t>
  </si>
  <si>
    <t>BACHELOR OF DEVELOPMENT STUDIES</t>
  </si>
  <si>
    <t>BDS</t>
  </si>
  <si>
    <t>FACULTY OF SOCIAL SCIENCES, ARTS AND HUMANITIES</t>
  </si>
  <si>
    <t>[VERIFY]  No figure changes needed for programme "BDS". Production figures should already equal the figures in this row (they were already aligned with the legacy template "BBC").  Recommended action: cross-check that production matches these figures; if they differ, treat as a drift and overwrite production with the figures here.  Do NOT change programme code, programme name, status, or faculty.</t>
  </si>
  <si>
    <t>BACHELOR OF GUIDANCE AND COUNSELLING</t>
  </si>
  <si>
    <t>BGC</t>
  </si>
  <si>
    <t>[VERIFY]  No figure changes needed for programme "BGC". Production figures should already equal the figures in this row (they were already aligned with the legacy template "BBC").  Recommended action: cross-check that production matches these figures; if they differ, treat as a drift and overwrite production with the figures here.  Do NOT change programme code, programme name, status, or faculty.</t>
  </si>
  <si>
    <t>BACHELOR OF GENDER AND DEVELOPMENT</t>
  </si>
  <si>
    <t>BGD</t>
  </si>
  <si>
    <t>FACULTY OF SOCIAL SCIENCES, ARTS AND HUMANITIES  —  Corrected source typo 'DEVELOPMRNT'</t>
  </si>
  <si>
    <t>[VERIFY]  No figure changes needed for programme "BGD". Production figures should already equal the figures in this row (they were already aligned with the legacy template "BBC").  Recommended action: cross-check that production matches these figures; if they differ, treat as a drift and overwrite production with the figures here.  Do NOT change programme code, programme name, status, or faculty.</t>
  </si>
  <si>
    <t>BACHELOR OF MASS COMMUNICATION</t>
  </si>
  <si>
    <t>BMC</t>
  </si>
  <si>
    <t>FACULTY OF SOCIAL SCIENCES, ARTS AND HUMANITIES   |   Figures updated from new format → BMC  (Y2S1_FUNC: 887,000→807,000)</t>
  </si>
  <si>
    <t>[UPDATE]  Replace the fee structure for programme code "BMC" with the figures in this row.  Source of truth: legacy template "BMC" (new format tab).  Diff vs current system: BMC  (Y2S1_FUNC: 887,000→807,000)  Persist YEAR 1 + YEAR 2 + YEAR 3 figures only. YEAR 4 is "—" / empty and must NOT be persisted.  Do NOT change the programme code, programme name, status, or faculty in production. Only the per-semester TUI and FUNC amounts (and the YR TOTAL / GRAND TOTAL they sum to) should be overwritten.</t>
  </si>
  <si>
    <t>BACHELOR OF TOURISM AND HOTEL MANAGEMENT</t>
  </si>
  <si>
    <t>BTHM</t>
  </si>
  <si>
    <t>[VERIFY]  No figure changes needed for programme "BTHM". Production figures should already equal the figures in this row (they were already aligned with the legacy template "BTHM").  Recommended action: cross-check that production matches these figures; if they differ, treat as a drift and overwrite production with the figures here.  Do NOT change programme code, programme name, status, or faculty.</t>
  </si>
  <si>
    <t>CERTIFICATE IN GUIDANCE AND COUNSELLING</t>
  </si>
  <si>
    <t>CGC</t>
  </si>
  <si>
    <t>[PRESERVE]  There is no matching template in the legacy "new format" tab for programme "CGC".  Action: KEEP the figures already in this row (these are the values currently held by the system). Do not import any "legacy" values — none exist for this programme.  Programme category: 1-year certificate.  Do NOT change programme code, programme name, status, or faculty.</t>
  </si>
  <si>
    <t>CERTIFICATE IN JOURNALISM</t>
  </si>
  <si>
    <t>CJ</t>
  </si>
  <si>
    <t>[PRESERVE]  There is no matching template in the legacy "new format" tab for programme "CJ".  Action: KEEP the figures already in this row (these are the values currently held by the system). Do not import any "legacy" values — none exist for this programme.  Programme category: 1-year certificate.  Do NOT change programme code, programme name, status, or faculty.</t>
  </si>
  <si>
    <t>DIPLOMA IN COUNSELING</t>
  </si>
  <si>
    <t>DC</t>
  </si>
  <si>
    <t>[VERIFY]  No figure changes needed for programme "DC".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</si>
  <si>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DIPLOMA IN DEVELOPMENT STUDIES</t>
  </si>
  <si>
    <t>DDS</t>
  </si>
  <si>
    <t>[VERIFY]  No figure changes needed for programme "DDS". Production figures should already equal the figures in this row (they were already aligned with the legacy template "BD").  Recommended action: cross-check that production matches these figures; if they differ, treat as a drift and overwrite production with the figures here.  Do NOT change programme code, programme name, status, or faculty.</t>
  </si>
  <si>
    <t>DIPLOMA IN JOURNALISM</t>
  </si>
  <si>
    <t>DJ</t>
  </si>
  <si>
    <t>[VERIFY]  No figure changes needed for programme "DJ". Production figures should already equal the figures in this row (they were already aligned with the legacy template "DJ").  Recommended action: cross-check that production matches these figures; if they differ, treat as a drift and overwrite production with the figures here.  Do NOT change programme code, programme name, status, or faculty.</t>
  </si>
  <si>
    <t>DIPLOMA IN MASS COMMUNICATION</t>
  </si>
  <si>
    <t>DMC</t>
  </si>
  <si>
    <t>[VERIFY]  No figure changes needed for programme "DMC". Production figures should already equal the figures in this row (they were already aligned with the legacy template "DJ").  Recommended action: cross-check that production matches these figures; if they differ, treat as a drift and overwrite production with the figures here.  Do NOT change programme code, programme name, status, or faculty.</t>
  </si>
  <si>
    <t>DIPLOMA IN TOURISM AND HOTEL MANAGEMENT</t>
  </si>
  <si>
    <t>DTHM</t>
  </si>
  <si>
    <t>[VERIFY]  No figure changes needed for programme "DTHM". Production figures should already equal the figures in this row (they were already aligned with the legacy template "DTHM").  Recommended action: cross-check that production matches these figures; if they differ, treat as a drift and overwrite production with the figures here.  Do NOT change programme code, programme name, status, or faculty.</t>
  </si>
  <si>
    <t>MASTER OF HISTORY AND HERITAGE STUDIES</t>
  </si>
  <si>
    <t>MHHS</t>
  </si>
  <si>
    <t>[PRESERVE]  There is no matching template in the legacy "new format" tab for programme "MHHS".  Action: KEEP the figures already in this row (these are the values currently held by the system). Do not import any "legacy" values — none exist for this programme.  Programme category: Postgraduate / Masters.  Do NOT change programme code, programme name, status, or faculty.</t>
  </si>
  <si>
    <t>MASTER OF ARTS IN MASS COMMUNICATION</t>
  </si>
  <si>
    <t>MMC</t>
  </si>
  <si>
    <t>[PRESERVE]  There is no matching template in the legacy "new format" tab for programme "MMC".  Action: KEEP the figures already in this row (these are the values currently held by the system). Do not import any "legacy" values — none exist for this programme.  Programme category: Postgraduate / Masters.  Do NOT change programme code, programme name, status, or faculty.</t>
  </si>
  <si>
    <t>MASTER OF ARTS IN PEACE, CONFLICT, HUMAN RIGHTS AND DEVELOPMENT</t>
  </si>
  <si>
    <t>MPCHD</t>
  </si>
  <si>
    <t>[PRESERVE]  There is no matching template in the legacy "new format" tab for programme "MPCHD".  Action: KEEP the figures already in this row (these are the values currently held by the system). Do not import any "legacy" values — none exist for this programme.  Programme category: Postgraduate / Masters.  Do NOT change programme code, programme name, status, or faculty.</t>
  </si>
  <si>
    <t>BACHELOR OF SOCIAL WORK AND SOCIAL ADMINISTRATION</t>
  </si>
  <si>
    <t>SWSA</t>
  </si>
  <si>
    <t>[VERIFY]  No figure changes needed for programme "SWSA". Production figures should already equal the figures in this row (they were already aligned with the legacy template "SWSA").  Recommended action: cross-check that production matches these figures; if they differ, treat as a drift and overwrite production with the figures here.  Do NOT change programme code, programme name, status, or faculty.</t>
  </si>
  <si>
    <t>LEGEND — IMPORT INSTRUCTION ACTION CODES</t>
  </si>
  <si>
    <t>UPDATE</t>
  </si>
  <si>
    <t>Overwrite production fee figures for this CODE with the figures in this row. These rows had drift vs the legacy "new format" tab; new format wins. Codes/names/status untouched.</t>
  </si>
  <si>
    <t>VERIFY</t>
  </si>
  <si>
    <t>No drift detected against the legacy template, but the agent should still confirm production figures match this row. If they differ, treat as drift and overwrite.</t>
  </si>
  <si>
    <t>PRESERVE</t>
  </si>
  <si>
    <t>No legacy template exists for this CODE (certificates / postgraduate / etc.). Keep production figures as they are now — do not touch.</t>
  </si>
  <si>
    <t>SKIP</t>
  </si>
  <si>
    <t>Default / template row. Do not import as a real programme.</t>
  </si>
  <si>
    <t>REVIEW</t>
  </si>
  <si>
    <t>Manual review required before any update (placeholder, course-code duplicate, or name duplicate).</t>
  </si>
  <si>
    <t>IMPORT PROTOCOL (read first):
1) For each row, read the IMPORT INSTRUCTION cell. The first token in [brackets] is the ACTION CODE.
2) Match the production programme record by CODE (column B). Programme codes are authoritative — do not match by name.
3) Numeric columns to overwrite when ACTION=UPDATE: each "TUI" and "FUNC" cell for every semester block that is numeric. The "YR x TOTAL" and "GRAND TOTAL" cells are SUM formulas — do NOT overwrite, they will recompute.
4) The "HAS YR x" column is a ✓ if the year has figures and ✗ if the year is "—". Use it to know whether to persist that year.
5) YEAR 4 is only populated for 4-year engineering programmes. For all other programmes, YEAR 4 is "—" and must not be persisted.
6) Do not change programme codes, programme names, statuses, or faculty assignments — these are out of scope for this import.
7) Any row with ACTION=SKIP or ACTION=REVIEW must NOT be auto-applied — log and surface to a human.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</si>
</sst>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—"/>
  </numFmts>
  <fonts count="11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0"/>
      <color rgb="FF1F4E78"/>
      <name val="Calibri"/>
      <family val="2"/>
    </font>
    <font>
      <b/>
      <sz val="9"/>
      <color rgb="FF1F4E78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9C0006"/>
      <name val="Calibri"/>
      <family val="2"/>
    </font>
    <font>
      <b/>
      <i/>
      <sz val="10"/>
      <color rgb="FF808080"/>
      <name val="Calibri"/>
      <family val="2"/>
    </font>
    <font>
      <i/>
      <sz val="10"/>
      <color rgb="FFA0530F"/>
      <name val="Calibri"/>
      <family val="2"/>
    </font>
    <font>
      <b/>
      <sz val="12"/>
      <color rgb="FF1F4E78"/>
      <name val="Calibri"/>
      <family val="2"/>
    </font>
    <font>
      <i/>
      <sz val="10"/>
      <color rgb="FF444444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7E6E6"/>
      </patternFill>
    </fill>
    <fill>
      <patternFill patternType="solid">
        <fgColor rgb="FFEAF1FB"/>
        <bgColor rgb="FFF2F2F2"/>
      </patternFill>
    </fill>
    <fill>
      <patternFill patternType="solid">
        <fgColor rgb="FFFFF2CC"/>
        <bgColor rgb="FFFFF8E1"/>
      </patternFill>
    </fill>
    <fill>
      <patternFill patternType="solid">
        <fgColor rgb="FFFFF8E1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AF1FB"/>
      </patternFill>
    </fill>
    <fill>
      <patternFill patternType="solid">
        <fgColor rgb="FFE7E6E6"/>
        <bgColor rgb="FFE2EFDA"/>
      </patternFill>
    </fill>
    <fill>
      <patternFill patternType="solid">
        <fgColor rgb="FFE2EFDA"/>
        <bgColor rgb="FFE7E6E6"/>
      </patternFill>
    </fill>
  </fills>
  <borders count="3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B4C7E7"/>
      </left>
      <right style="thin">
        <color rgb="FFB4C7E7"/>
      </right>
      <top style="thin">
        <color rgb="FFB4C7E7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top" wrapText="1"/>
    </xf>
    <xf numFmtId="164" fontId="6" fillId="7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righ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righ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right" vertical="center"/>
    </xf>
    <xf numFmtId="164" fontId="6" fillId="10" borderId="1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horizontal="left" vertical="top" wrapText="1"/>
    </xf>
    <xf numFmtId="0" fontId="9" fillId="0" borderId="0" xfId="0" applyFont="1"/>
    <xf numFmtId="0" fontId="5" fillId="1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32C0F-EAA4-BB4D-BC6D-6959F6AB78B3}">
  <dimension ref="A1:AL142"/>
  <sheetViews>
    <sheetView tabSelected="1" workbookViewId="0">
      <selection activeCell="G17" sqref="G17"/>
    </sheetView>
  </sheetViews>
  <sheetFormatPr baseColWidth="10" defaultColWidth="8.6640625" defaultRowHeight="16" x14ac:dyDescent="0.2"/>
  <cols>
    <col min="1" max="1" width="56" customWidth="1"/>
    <col min="2" max="2" width="12" customWidth="1"/>
    <col min="3" max="3" width="10" customWidth="1"/>
    <col min="4" max="9" width="11" customWidth="1"/>
    <col min="10" max="10" width="14" customWidth="1"/>
    <col min="11" max="11" width="9" customWidth="1"/>
    <col min="12" max="17" width="11" customWidth="1"/>
    <col min="18" max="18" width="14" customWidth="1"/>
    <col min="19" max="19" width="9" customWidth="1"/>
    <col min="20" max="25" width="11" customWidth="1"/>
    <col min="26" max="26" width="14" customWidth="1"/>
    <col min="27" max="27" width="9" customWidth="1"/>
    <col min="28" max="33" width="11" customWidth="1"/>
    <col min="34" max="34" width="14" customWidth="1"/>
    <col min="35" max="35" width="9" customWidth="1"/>
    <col min="36" max="36" width="12" bestFit="1" customWidth="1"/>
    <col min="37" max="37" width="72" customWidth="1"/>
    <col min="38" max="38" width="96" customWidth="1"/>
  </cols>
  <sheetData>
    <row r="1" spans="1:38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 t="s">
        <v>4</v>
      </c>
      <c r="M1" s="1"/>
      <c r="N1" s="1"/>
      <c r="O1" s="1"/>
      <c r="P1" s="1"/>
      <c r="Q1" s="1"/>
      <c r="R1" s="1"/>
      <c r="S1" s="1"/>
      <c r="T1" s="1" t="s">
        <v>5</v>
      </c>
      <c r="U1" s="1"/>
      <c r="V1" s="1"/>
      <c r="W1" s="1"/>
      <c r="X1" s="1"/>
      <c r="Y1" s="1"/>
      <c r="Z1" s="1"/>
      <c r="AA1" s="1"/>
      <c r="AB1" s="1" t="s">
        <v>6</v>
      </c>
      <c r="AC1" s="1"/>
      <c r="AD1" s="1"/>
      <c r="AE1" s="1"/>
      <c r="AF1" s="1"/>
      <c r="AG1" s="1"/>
      <c r="AH1" s="1"/>
      <c r="AI1" s="1"/>
      <c r="AJ1" s="1" t="s">
        <v>7</v>
      </c>
      <c r="AK1" s="1" t="s">
        <v>8</v>
      </c>
      <c r="AL1" s="2" t="s">
        <v>9</v>
      </c>
    </row>
    <row r="2" spans="1:38" ht="21.75" customHeight="1" x14ac:dyDescent="0.2">
      <c r="A2" s="1"/>
      <c r="B2" s="1"/>
      <c r="C2" s="1"/>
      <c r="D2" s="3" t="s">
        <v>10</v>
      </c>
      <c r="E2" s="3"/>
      <c r="F2" s="3" t="s">
        <v>11</v>
      </c>
      <c r="G2" s="3"/>
      <c r="H2" s="3" t="s">
        <v>12</v>
      </c>
      <c r="I2" s="3"/>
      <c r="J2" s="3" t="s">
        <v>13</v>
      </c>
      <c r="K2" s="3" t="s">
        <v>14</v>
      </c>
      <c r="L2" s="3" t="s">
        <v>10</v>
      </c>
      <c r="M2" s="3"/>
      <c r="N2" s="3" t="s">
        <v>11</v>
      </c>
      <c r="O2" s="3"/>
      <c r="P2" s="3" t="s">
        <v>12</v>
      </c>
      <c r="Q2" s="3"/>
      <c r="R2" s="3" t="s">
        <v>15</v>
      </c>
      <c r="S2" s="3" t="s">
        <v>16</v>
      </c>
      <c r="T2" s="3" t="s">
        <v>10</v>
      </c>
      <c r="U2" s="3"/>
      <c r="V2" s="3" t="s">
        <v>11</v>
      </c>
      <c r="W2" s="3"/>
      <c r="X2" s="3" t="s">
        <v>12</v>
      </c>
      <c r="Y2" s="3"/>
      <c r="Z2" s="3" t="s">
        <v>17</v>
      </c>
      <c r="AA2" s="3" t="s">
        <v>18</v>
      </c>
      <c r="AB2" s="3" t="s">
        <v>10</v>
      </c>
      <c r="AC2" s="3"/>
      <c r="AD2" s="3" t="s">
        <v>11</v>
      </c>
      <c r="AE2" s="3"/>
      <c r="AF2" s="3" t="s">
        <v>12</v>
      </c>
      <c r="AG2" s="3"/>
      <c r="AH2" s="3" t="s">
        <v>19</v>
      </c>
      <c r="AI2" s="3" t="s">
        <v>20</v>
      </c>
      <c r="AJ2" s="1"/>
      <c r="AK2" s="1"/>
      <c r="AL2" s="2"/>
    </row>
    <row r="3" spans="1:38" ht="18" customHeight="1" x14ac:dyDescent="0.2">
      <c r="A3" s="1"/>
      <c r="B3" s="1"/>
      <c r="C3" s="1"/>
      <c r="D3" s="4" t="s">
        <v>21</v>
      </c>
      <c r="E3" s="4" t="s">
        <v>22</v>
      </c>
      <c r="F3" s="4" t="s">
        <v>21</v>
      </c>
      <c r="G3" s="4" t="s">
        <v>22</v>
      </c>
      <c r="H3" s="4" t="s">
        <v>21</v>
      </c>
      <c r="I3" s="4" t="s">
        <v>22</v>
      </c>
      <c r="J3" s="3"/>
      <c r="K3" s="3"/>
      <c r="L3" s="4" t="s">
        <v>21</v>
      </c>
      <c r="M3" s="4" t="s">
        <v>22</v>
      </c>
      <c r="N3" s="4" t="s">
        <v>21</v>
      </c>
      <c r="O3" s="4" t="s">
        <v>22</v>
      </c>
      <c r="P3" s="4" t="s">
        <v>21</v>
      </c>
      <c r="Q3" s="4" t="s">
        <v>22</v>
      </c>
      <c r="R3" s="3"/>
      <c r="S3" s="3"/>
      <c r="T3" s="4" t="s">
        <v>21</v>
      </c>
      <c r="U3" s="4" t="s">
        <v>22</v>
      </c>
      <c r="V3" s="4" t="s">
        <v>21</v>
      </c>
      <c r="W3" s="4" t="s">
        <v>22</v>
      </c>
      <c r="X3" s="4" t="s">
        <v>21</v>
      </c>
      <c r="Y3" s="4" t="s">
        <v>22</v>
      </c>
      <c r="Z3" s="3"/>
      <c r="AA3" s="3"/>
      <c r="AB3" s="4" t="s">
        <v>21</v>
      </c>
      <c r="AC3" s="4" t="s">
        <v>22</v>
      </c>
      <c r="AD3" s="4" t="s">
        <v>21</v>
      </c>
      <c r="AE3" s="4" t="s">
        <v>22</v>
      </c>
      <c r="AF3" s="4" t="s">
        <v>21</v>
      </c>
      <c r="AG3" s="4" t="s">
        <v>22</v>
      </c>
      <c r="AH3" s="3"/>
      <c r="AI3" s="3"/>
      <c r="AJ3" s="3"/>
      <c r="AK3" s="3"/>
      <c r="AL3" s="2"/>
    </row>
    <row r="4" spans="1:38" ht="15" customHeight="1" x14ac:dyDescent="0.2">
      <c r="A4" s="5" t="s">
        <v>23</v>
      </c>
      <c r="B4" s="6" t="s">
        <v>24</v>
      </c>
      <c r="C4" s="6" t="s">
        <v>25</v>
      </c>
      <c r="D4" s="7">
        <v>400000</v>
      </c>
      <c r="E4" s="7">
        <v>430000</v>
      </c>
      <c r="F4" s="7">
        <v>400000</v>
      </c>
      <c r="G4" s="7">
        <v>365000</v>
      </c>
      <c r="H4" s="7">
        <v>0</v>
      </c>
      <c r="I4" s="7">
        <v>0</v>
      </c>
      <c r="J4" s="8">
        <f t="shared" ref="J4:J67" si="0">SUM(D4:I4)</f>
        <v>1595000</v>
      </c>
      <c r="K4" s="6" t="s">
        <v>26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8">
        <f t="shared" ref="R4:R67" si="1">SUM(L4:Q4)</f>
        <v>0</v>
      </c>
      <c r="S4" s="6" t="s">
        <v>27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8">
        <f t="shared" ref="Z4:Z67" si="2">SUM(T4:Y4)</f>
        <v>0</v>
      </c>
      <c r="AA4" s="6" t="s">
        <v>27</v>
      </c>
      <c r="AB4" s="9" t="s">
        <v>28</v>
      </c>
      <c r="AC4" s="9" t="s">
        <v>28</v>
      </c>
      <c r="AD4" s="9" t="s">
        <v>28</v>
      </c>
      <c r="AE4" s="9" t="s">
        <v>28</v>
      </c>
      <c r="AF4" s="9" t="s">
        <v>28</v>
      </c>
      <c r="AG4" s="9" t="s">
        <v>28</v>
      </c>
      <c r="AH4" s="10" t="s">
        <v>28</v>
      </c>
      <c r="AI4" s="6" t="s">
        <v>27</v>
      </c>
      <c r="AJ4" s="11">
        <f t="shared" ref="AJ4:AJ15" si="3">J4+R4+Z4</f>
        <v>1595000</v>
      </c>
      <c r="AK4" s="5" t="s">
        <v>29</v>
      </c>
      <c r="AL4" s="12" t="s">
        <v>30</v>
      </c>
    </row>
    <row r="5" spans="1:38" ht="15" customHeight="1" x14ac:dyDescent="0.2">
      <c r="A5" s="5" t="s">
        <v>31</v>
      </c>
      <c r="B5" s="6" t="s">
        <v>32</v>
      </c>
      <c r="C5" s="6" t="s">
        <v>25</v>
      </c>
      <c r="D5" s="7">
        <v>400000</v>
      </c>
      <c r="E5" s="7">
        <v>430000</v>
      </c>
      <c r="F5" s="7">
        <v>400000</v>
      </c>
      <c r="G5" s="7">
        <v>365000</v>
      </c>
      <c r="H5" s="7">
        <v>0</v>
      </c>
      <c r="I5" s="7">
        <v>0</v>
      </c>
      <c r="J5" s="8">
        <f t="shared" si="0"/>
        <v>1595000</v>
      </c>
      <c r="K5" s="6" t="s">
        <v>26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8">
        <f t="shared" si="1"/>
        <v>0</v>
      </c>
      <c r="S5" s="6" t="s">
        <v>27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8">
        <f t="shared" si="2"/>
        <v>0</v>
      </c>
      <c r="AA5" s="6" t="s">
        <v>27</v>
      </c>
      <c r="AB5" s="9" t="s">
        <v>28</v>
      </c>
      <c r="AC5" s="9" t="s">
        <v>28</v>
      </c>
      <c r="AD5" s="9" t="s">
        <v>28</v>
      </c>
      <c r="AE5" s="9" t="s">
        <v>28</v>
      </c>
      <c r="AF5" s="9" t="s">
        <v>28</v>
      </c>
      <c r="AG5" s="9" t="s">
        <v>28</v>
      </c>
      <c r="AH5" s="10" t="s">
        <v>28</v>
      </c>
      <c r="AI5" s="6" t="s">
        <v>27</v>
      </c>
      <c r="AJ5" s="11">
        <f t="shared" si="3"/>
        <v>1595000</v>
      </c>
      <c r="AK5" s="5" t="s">
        <v>29</v>
      </c>
      <c r="AL5" s="12" t="s">
        <v>33</v>
      </c>
    </row>
    <row r="6" spans="1:38" ht="15" customHeight="1" x14ac:dyDescent="0.2">
      <c r="A6" s="5" t="s">
        <v>34</v>
      </c>
      <c r="B6" s="6" t="s">
        <v>35</v>
      </c>
      <c r="C6" s="6" t="s">
        <v>25</v>
      </c>
      <c r="D6" s="7">
        <v>430000</v>
      </c>
      <c r="E6" s="7">
        <v>917000</v>
      </c>
      <c r="F6" s="7">
        <v>430000</v>
      </c>
      <c r="G6" s="7">
        <v>677000</v>
      </c>
      <c r="H6" s="7">
        <v>0</v>
      </c>
      <c r="I6" s="7">
        <v>0</v>
      </c>
      <c r="J6" s="8">
        <f t="shared" si="0"/>
        <v>2454000</v>
      </c>
      <c r="K6" s="6" t="s">
        <v>26</v>
      </c>
      <c r="L6" s="7">
        <v>430000</v>
      </c>
      <c r="M6" s="7">
        <v>837000</v>
      </c>
      <c r="N6" s="7">
        <v>430000</v>
      </c>
      <c r="O6" s="7">
        <v>933000</v>
      </c>
      <c r="P6" s="7">
        <v>0</v>
      </c>
      <c r="Q6" s="7">
        <v>0</v>
      </c>
      <c r="R6" s="8">
        <f t="shared" si="1"/>
        <v>2630000</v>
      </c>
      <c r="S6" s="6" t="s">
        <v>26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8">
        <f t="shared" si="2"/>
        <v>0</v>
      </c>
      <c r="AA6" s="6" t="s">
        <v>27</v>
      </c>
      <c r="AB6" s="9" t="s">
        <v>28</v>
      </c>
      <c r="AC6" s="9" t="s">
        <v>28</v>
      </c>
      <c r="AD6" s="9" t="s">
        <v>28</v>
      </c>
      <c r="AE6" s="9" t="s">
        <v>28</v>
      </c>
      <c r="AF6" s="9" t="s">
        <v>28</v>
      </c>
      <c r="AG6" s="9" t="s">
        <v>28</v>
      </c>
      <c r="AH6" s="10" t="s">
        <v>28</v>
      </c>
      <c r="AI6" s="6" t="s">
        <v>27</v>
      </c>
      <c r="AJ6" s="13">
        <f t="shared" si="3"/>
        <v>5084000</v>
      </c>
      <c r="AK6" s="5" t="s">
        <v>36</v>
      </c>
      <c r="AL6" s="14" t="s">
        <v>37</v>
      </c>
    </row>
    <row r="7" spans="1:38" ht="15" customHeight="1" x14ac:dyDescent="0.2">
      <c r="A7" s="15" t="s">
        <v>38</v>
      </c>
      <c r="B7" s="16" t="s">
        <v>39</v>
      </c>
      <c r="C7" s="17" t="s">
        <v>40</v>
      </c>
      <c r="D7" s="18">
        <v>630000</v>
      </c>
      <c r="E7" s="18">
        <v>767000</v>
      </c>
      <c r="F7" s="18">
        <v>630000</v>
      </c>
      <c r="G7" s="18">
        <v>677000</v>
      </c>
      <c r="H7" s="18">
        <v>0</v>
      </c>
      <c r="I7" s="18">
        <v>0</v>
      </c>
      <c r="J7" s="19">
        <f t="shared" si="0"/>
        <v>2704000</v>
      </c>
      <c r="K7" s="16" t="s">
        <v>26</v>
      </c>
      <c r="L7" s="18">
        <v>630000</v>
      </c>
      <c r="M7" s="18">
        <v>687000</v>
      </c>
      <c r="N7" s="18">
        <v>630000</v>
      </c>
      <c r="O7" s="18">
        <v>653000</v>
      </c>
      <c r="P7" s="18">
        <v>0</v>
      </c>
      <c r="Q7" s="18">
        <v>0</v>
      </c>
      <c r="R7" s="19">
        <f t="shared" si="1"/>
        <v>2600000</v>
      </c>
      <c r="S7" s="16" t="s">
        <v>26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9">
        <f t="shared" si="2"/>
        <v>0</v>
      </c>
      <c r="AA7" s="16" t="s">
        <v>27</v>
      </c>
      <c r="AB7" s="20" t="s">
        <v>28</v>
      </c>
      <c r="AC7" s="20" t="s">
        <v>28</v>
      </c>
      <c r="AD7" s="20" t="s">
        <v>28</v>
      </c>
      <c r="AE7" s="20" t="s">
        <v>28</v>
      </c>
      <c r="AF7" s="20" t="s">
        <v>28</v>
      </c>
      <c r="AG7" s="20" t="s">
        <v>28</v>
      </c>
      <c r="AH7" s="21" t="s">
        <v>28</v>
      </c>
      <c r="AI7" s="16" t="s">
        <v>27</v>
      </c>
      <c r="AJ7" s="22">
        <f t="shared" si="3"/>
        <v>5304000</v>
      </c>
      <c r="AK7" s="23" t="s">
        <v>41</v>
      </c>
      <c r="AL7" s="24" t="s">
        <v>42</v>
      </c>
    </row>
    <row r="8" spans="1:38" ht="15" customHeight="1" x14ac:dyDescent="0.2">
      <c r="A8" s="5" t="s">
        <v>43</v>
      </c>
      <c r="B8" s="6" t="s">
        <v>44</v>
      </c>
      <c r="C8" s="6" t="s">
        <v>25</v>
      </c>
      <c r="D8" s="7">
        <v>400000</v>
      </c>
      <c r="E8" s="7">
        <v>430000</v>
      </c>
      <c r="F8" s="7">
        <v>400000</v>
      </c>
      <c r="G8" s="7">
        <v>365000</v>
      </c>
      <c r="H8" s="7">
        <v>0</v>
      </c>
      <c r="I8" s="7">
        <v>0</v>
      </c>
      <c r="J8" s="8">
        <f t="shared" si="0"/>
        <v>1595000</v>
      </c>
      <c r="K8" s="6" t="s">
        <v>26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8">
        <f t="shared" si="1"/>
        <v>0</v>
      </c>
      <c r="S8" s="6" t="s">
        <v>27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8">
        <f t="shared" si="2"/>
        <v>0</v>
      </c>
      <c r="AA8" s="6" t="s">
        <v>27</v>
      </c>
      <c r="AB8" s="9" t="s">
        <v>28</v>
      </c>
      <c r="AC8" s="9" t="s">
        <v>28</v>
      </c>
      <c r="AD8" s="9" t="s">
        <v>28</v>
      </c>
      <c r="AE8" s="9" t="s">
        <v>28</v>
      </c>
      <c r="AF8" s="9" t="s">
        <v>28</v>
      </c>
      <c r="AG8" s="9" t="s">
        <v>28</v>
      </c>
      <c r="AH8" s="10" t="s">
        <v>28</v>
      </c>
      <c r="AI8" s="6" t="s">
        <v>27</v>
      </c>
      <c r="AJ8" s="11">
        <f t="shared" si="3"/>
        <v>1595000</v>
      </c>
      <c r="AK8" s="5" t="s">
        <v>29</v>
      </c>
      <c r="AL8" s="12" t="s">
        <v>45</v>
      </c>
    </row>
    <row r="9" spans="1:38" ht="15" customHeight="1" x14ac:dyDescent="0.2">
      <c r="A9" s="5" t="s">
        <v>46</v>
      </c>
      <c r="B9" s="6" t="s">
        <v>47</v>
      </c>
      <c r="C9" s="6" t="s">
        <v>25</v>
      </c>
      <c r="D9" s="7">
        <v>400000</v>
      </c>
      <c r="E9" s="7">
        <v>430000</v>
      </c>
      <c r="F9" s="7">
        <v>400000</v>
      </c>
      <c r="G9" s="7">
        <v>365000</v>
      </c>
      <c r="H9" s="7">
        <v>0</v>
      </c>
      <c r="I9" s="7">
        <v>0</v>
      </c>
      <c r="J9" s="8">
        <f t="shared" si="0"/>
        <v>1595000</v>
      </c>
      <c r="K9" s="6" t="s">
        <v>26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8">
        <f t="shared" si="1"/>
        <v>0</v>
      </c>
      <c r="S9" s="6" t="s">
        <v>27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8">
        <f t="shared" si="2"/>
        <v>0</v>
      </c>
      <c r="AA9" s="6" t="s">
        <v>27</v>
      </c>
      <c r="AB9" s="9" t="s">
        <v>28</v>
      </c>
      <c r="AC9" s="9" t="s">
        <v>28</v>
      </c>
      <c r="AD9" s="9" t="s">
        <v>28</v>
      </c>
      <c r="AE9" s="9" t="s">
        <v>28</v>
      </c>
      <c r="AF9" s="9" t="s">
        <v>28</v>
      </c>
      <c r="AG9" s="9" t="s">
        <v>28</v>
      </c>
      <c r="AH9" s="10" t="s">
        <v>28</v>
      </c>
      <c r="AI9" s="6" t="s">
        <v>27</v>
      </c>
      <c r="AJ9" s="11">
        <f t="shared" si="3"/>
        <v>1595000</v>
      </c>
      <c r="AK9" s="5" t="s">
        <v>29</v>
      </c>
      <c r="AL9" s="12" t="s">
        <v>48</v>
      </c>
    </row>
    <row r="10" spans="1:38" ht="15" customHeight="1" x14ac:dyDescent="0.2">
      <c r="A10" s="5" t="s">
        <v>49</v>
      </c>
      <c r="B10" s="6" t="s">
        <v>50</v>
      </c>
      <c r="C10" s="6" t="s">
        <v>25</v>
      </c>
      <c r="D10" s="7">
        <v>400000</v>
      </c>
      <c r="E10" s="7">
        <v>430000</v>
      </c>
      <c r="F10" s="7">
        <v>400000</v>
      </c>
      <c r="G10" s="7">
        <v>365000</v>
      </c>
      <c r="H10" s="7">
        <v>0</v>
      </c>
      <c r="I10" s="7">
        <v>0</v>
      </c>
      <c r="J10" s="8">
        <f t="shared" si="0"/>
        <v>1595000</v>
      </c>
      <c r="K10" s="6" t="s">
        <v>26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8">
        <f t="shared" si="1"/>
        <v>0</v>
      </c>
      <c r="S10" s="6" t="s">
        <v>27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8">
        <f t="shared" si="2"/>
        <v>0</v>
      </c>
      <c r="AA10" s="6" t="s">
        <v>27</v>
      </c>
      <c r="AB10" s="9" t="s">
        <v>28</v>
      </c>
      <c r="AC10" s="9" t="s">
        <v>28</v>
      </c>
      <c r="AD10" s="9" t="s">
        <v>28</v>
      </c>
      <c r="AE10" s="9" t="s">
        <v>28</v>
      </c>
      <c r="AF10" s="9" t="s">
        <v>28</v>
      </c>
      <c r="AG10" s="9" t="s">
        <v>28</v>
      </c>
      <c r="AH10" s="10" t="s">
        <v>28</v>
      </c>
      <c r="AI10" s="6" t="s">
        <v>27</v>
      </c>
      <c r="AJ10" s="11">
        <f t="shared" si="3"/>
        <v>1595000</v>
      </c>
      <c r="AK10" s="5" t="s">
        <v>29</v>
      </c>
      <c r="AL10" s="12" t="s">
        <v>51</v>
      </c>
    </row>
    <row r="11" spans="1:38" ht="20.25" customHeight="1" x14ac:dyDescent="0.2">
      <c r="A11" s="5" t="s">
        <v>23</v>
      </c>
      <c r="B11" s="6" t="s">
        <v>52</v>
      </c>
      <c r="C11" s="6" t="s">
        <v>25</v>
      </c>
      <c r="D11" s="7">
        <v>400000</v>
      </c>
      <c r="E11" s="7">
        <v>430000</v>
      </c>
      <c r="F11" s="7">
        <v>400000</v>
      </c>
      <c r="G11" s="7">
        <v>365000</v>
      </c>
      <c r="H11" s="7">
        <v>0</v>
      </c>
      <c r="I11" s="7">
        <v>0</v>
      </c>
      <c r="J11" s="8">
        <f t="shared" si="0"/>
        <v>1595000</v>
      </c>
      <c r="K11" s="6" t="s">
        <v>26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8">
        <f t="shared" si="1"/>
        <v>0</v>
      </c>
      <c r="S11" s="6" t="s">
        <v>27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8">
        <f t="shared" si="2"/>
        <v>0</v>
      </c>
      <c r="AA11" s="6" t="s">
        <v>27</v>
      </c>
      <c r="AB11" s="9" t="s">
        <v>28</v>
      </c>
      <c r="AC11" s="9" t="s">
        <v>28</v>
      </c>
      <c r="AD11" s="9" t="s">
        <v>28</v>
      </c>
      <c r="AE11" s="9" t="s">
        <v>28</v>
      </c>
      <c r="AF11" s="9" t="s">
        <v>28</v>
      </c>
      <c r="AG11" s="9" t="s">
        <v>28</v>
      </c>
      <c r="AH11" s="10" t="s">
        <v>28</v>
      </c>
      <c r="AI11" s="6" t="s">
        <v>27</v>
      </c>
      <c r="AJ11" s="11">
        <f t="shared" si="3"/>
        <v>1595000</v>
      </c>
      <c r="AK11" s="25" t="s">
        <v>53</v>
      </c>
      <c r="AL11" s="26" t="s">
        <v>54</v>
      </c>
    </row>
    <row r="12" spans="1:38" ht="15" customHeight="1" x14ac:dyDescent="0.2">
      <c r="A12" s="5" t="s">
        <v>55</v>
      </c>
      <c r="B12" s="6" t="s">
        <v>56</v>
      </c>
      <c r="C12" s="6" t="s">
        <v>25</v>
      </c>
      <c r="D12" s="7">
        <v>400000</v>
      </c>
      <c r="E12" s="7">
        <v>430000</v>
      </c>
      <c r="F12" s="7">
        <v>400000</v>
      </c>
      <c r="G12" s="7">
        <v>365000</v>
      </c>
      <c r="H12" s="7">
        <v>0</v>
      </c>
      <c r="I12" s="7">
        <v>0</v>
      </c>
      <c r="J12" s="8">
        <f t="shared" si="0"/>
        <v>1595000</v>
      </c>
      <c r="K12" s="6" t="s">
        <v>26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8">
        <f t="shared" si="1"/>
        <v>0</v>
      </c>
      <c r="S12" s="6" t="s">
        <v>27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8">
        <f t="shared" si="2"/>
        <v>0</v>
      </c>
      <c r="AA12" s="6" t="s">
        <v>27</v>
      </c>
      <c r="AB12" s="9" t="s">
        <v>28</v>
      </c>
      <c r="AC12" s="9" t="s">
        <v>28</v>
      </c>
      <c r="AD12" s="9" t="s">
        <v>28</v>
      </c>
      <c r="AE12" s="9" t="s">
        <v>28</v>
      </c>
      <c r="AF12" s="9" t="s">
        <v>28</v>
      </c>
      <c r="AG12" s="9" t="s">
        <v>28</v>
      </c>
      <c r="AH12" s="10" t="s">
        <v>28</v>
      </c>
      <c r="AI12" s="6" t="s">
        <v>27</v>
      </c>
      <c r="AJ12" s="11">
        <f t="shared" si="3"/>
        <v>1595000</v>
      </c>
      <c r="AK12" s="5" t="s">
        <v>29</v>
      </c>
      <c r="AL12" s="12" t="s">
        <v>57</v>
      </c>
    </row>
    <row r="13" spans="1:38" ht="15" customHeight="1" x14ac:dyDescent="0.2">
      <c r="A13" s="5" t="s">
        <v>58</v>
      </c>
      <c r="B13" s="6" t="s">
        <v>59</v>
      </c>
      <c r="C13" s="6" t="s">
        <v>25</v>
      </c>
      <c r="D13" s="7">
        <v>430000</v>
      </c>
      <c r="E13" s="7">
        <v>767000</v>
      </c>
      <c r="F13" s="7">
        <v>430000</v>
      </c>
      <c r="G13" s="7">
        <v>677000</v>
      </c>
      <c r="H13" s="7">
        <v>0</v>
      </c>
      <c r="I13" s="7">
        <v>0</v>
      </c>
      <c r="J13" s="8">
        <f t="shared" si="0"/>
        <v>2304000</v>
      </c>
      <c r="K13" s="6" t="s">
        <v>26</v>
      </c>
      <c r="L13" s="7">
        <v>430000</v>
      </c>
      <c r="M13" s="7">
        <v>687000</v>
      </c>
      <c r="N13" s="7">
        <v>430000</v>
      </c>
      <c r="O13" s="7">
        <v>733000</v>
      </c>
      <c r="P13" s="7">
        <v>0</v>
      </c>
      <c r="Q13" s="7">
        <v>0</v>
      </c>
      <c r="R13" s="8">
        <f t="shared" si="1"/>
        <v>2280000</v>
      </c>
      <c r="S13" s="6" t="s">
        <v>26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8">
        <f t="shared" si="2"/>
        <v>0</v>
      </c>
      <c r="AA13" s="6" t="s">
        <v>27</v>
      </c>
      <c r="AB13" s="9" t="s">
        <v>28</v>
      </c>
      <c r="AC13" s="9" t="s">
        <v>28</v>
      </c>
      <c r="AD13" s="9" t="s">
        <v>28</v>
      </c>
      <c r="AE13" s="9" t="s">
        <v>28</v>
      </c>
      <c r="AF13" s="9" t="s">
        <v>28</v>
      </c>
      <c r="AG13" s="9" t="s">
        <v>28</v>
      </c>
      <c r="AH13" s="10" t="s">
        <v>28</v>
      </c>
      <c r="AI13" s="6" t="s">
        <v>27</v>
      </c>
      <c r="AJ13" s="13">
        <f t="shared" si="3"/>
        <v>4584000</v>
      </c>
      <c r="AK13" s="5" t="s">
        <v>36</v>
      </c>
      <c r="AL13" s="14" t="s">
        <v>60</v>
      </c>
    </row>
    <row r="14" spans="1:38" ht="15" customHeight="1" x14ac:dyDescent="0.2">
      <c r="A14" s="5" t="s">
        <v>61</v>
      </c>
      <c r="B14" s="6" t="s">
        <v>62</v>
      </c>
      <c r="C14" s="6" t="s">
        <v>25</v>
      </c>
      <c r="D14" s="7">
        <v>730000</v>
      </c>
      <c r="E14" s="7">
        <v>985250</v>
      </c>
      <c r="F14" s="7">
        <v>730000</v>
      </c>
      <c r="G14" s="7">
        <v>895250</v>
      </c>
      <c r="H14" s="7">
        <v>0</v>
      </c>
      <c r="I14" s="7">
        <v>0</v>
      </c>
      <c r="J14" s="8">
        <f t="shared" si="0"/>
        <v>3340500</v>
      </c>
      <c r="K14" s="6" t="s">
        <v>26</v>
      </c>
      <c r="L14" s="7">
        <v>730000</v>
      </c>
      <c r="M14" s="7">
        <v>905250</v>
      </c>
      <c r="N14" s="7">
        <v>730000</v>
      </c>
      <c r="O14" s="7">
        <v>1071250</v>
      </c>
      <c r="P14" s="7">
        <v>0</v>
      </c>
      <c r="Q14" s="7">
        <v>0</v>
      </c>
      <c r="R14" s="8">
        <f t="shared" si="1"/>
        <v>3436500</v>
      </c>
      <c r="S14" s="6" t="s">
        <v>26</v>
      </c>
      <c r="T14" s="7">
        <v>730000</v>
      </c>
      <c r="U14" s="7">
        <v>881250</v>
      </c>
      <c r="V14" s="7">
        <v>730000</v>
      </c>
      <c r="W14" s="7">
        <v>951250</v>
      </c>
      <c r="X14" s="7">
        <v>0</v>
      </c>
      <c r="Y14" s="7">
        <v>0</v>
      </c>
      <c r="Z14" s="8">
        <f t="shared" si="2"/>
        <v>3292500</v>
      </c>
      <c r="AA14" s="6" t="s">
        <v>26</v>
      </c>
      <c r="AB14" s="9" t="s">
        <v>28</v>
      </c>
      <c r="AC14" s="9" t="s">
        <v>28</v>
      </c>
      <c r="AD14" s="9" t="s">
        <v>28</v>
      </c>
      <c r="AE14" s="9" t="s">
        <v>28</v>
      </c>
      <c r="AF14" s="9" t="s">
        <v>28</v>
      </c>
      <c r="AG14" s="9" t="s">
        <v>28</v>
      </c>
      <c r="AH14" s="10" t="s">
        <v>28</v>
      </c>
      <c r="AI14" s="6" t="s">
        <v>27</v>
      </c>
      <c r="AJ14" s="13">
        <f t="shared" si="3"/>
        <v>10069500</v>
      </c>
      <c r="AK14" s="5" t="s">
        <v>36</v>
      </c>
      <c r="AL14" s="14" t="s">
        <v>63</v>
      </c>
    </row>
    <row r="15" spans="1:38" ht="15" customHeight="1" x14ac:dyDescent="0.2">
      <c r="A15" s="5" t="s">
        <v>64</v>
      </c>
      <c r="B15" s="6" t="s">
        <v>65</v>
      </c>
      <c r="C15" s="6" t="s">
        <v>25</v>
      </c>
      <c r="D15" s="7">
        <v>630000</v>
      </c>
      <c r="E15" s="7">
        <v>767000</v>
      </c>
      <c r="F15" s="7">
        <v>630000</v>
      </c>
      <c r="G15" s="7">
        <v>677000</v>
      </c>
      <c r="H15" s="7">
        <v>0</v>
      </c>
      <c r="I15" s="7">
        <v>0</v>
      </c>
      <c r="J15" s="8">
        <f t="shared" si="0"/>
        <v>2704000</v>
      </c>
      <c r="K15" s="6" t="s">
        <v>26</v>
      </c>
      <c r="L15" s="7">
        <v>630000</v>
      </c>
      <c r="M15" s="7">
        <v>687000</v>
      </c>
      <c r="N15" s="7">
        <v>630000</v>
      </c>
      <c r="O15" s="7">
        <v>653000</v>
      </c>
      <c r="P15" s="7">
        <v>0</v>
      </c>
      <c r="Q15" s="7">
        <v>0</v>
      </c>
      <c r="R15" s="8">
        <f t="shared" si="1"/>
        <v>2600000</v>
      </c>
      <c r="S15" s="6" t="s">
        <v>26</v>
      </c>
      <c r="T15" s="7">
        <v>630000</v>
      </c>
      <c r="U15" s="7">
        <v>663000</v>
      </c>
      <c r="V15" s="7">
        <v>630000</v>
      </c>
      <c r="W15" s="7">
        <v>933000</v>
      </c>
      <c r="X15" s="7">
        <v>0</v>
      </c>
      <c r="Y15" s="7">
        <v>0</v>
      </c>
      <c r="Z15" s="8">
        <f t="shared" si="2"/>
        <v>2856000</v>
      </c>
      <c r="AA15" s="6" t="s">
        <v>26</v>
      </c>
      <c r="AB15" s="9" t="s">
        <v>28</v>
      </c>
      <c r="AC15" s="9" t="s">
        <v>28</v>
      </c>
      <c r="AD15" s="9" t="s">
        <v>28</v>
      </c>
      <c r="AE15" s="9" t="s">
        <v>28</v>
      </c>
      <c r="AF15" s="9" t="s">
        <v>28</v>
      </c>
      <c r="AG15" s="9" t="s">
        <v>28</v>
      </c>
      <c r="AH15" s="10" t="s">
        <v>28</v>
      </c>
      <c r="AI15" s="6" t="s">
        <v>27</v>
      </c>
      <c r="AJ15" s="13">
        <f t="shared" si="3"/>
        <v>8160000</v>
      </c>
      <c r="AK15" s="5" t="s">
        <v>36</v>
      </c>
      <c r="AL15" s="14" t="s">
        <v>66</v>
      </c>
    </row>
    <row r="16" spans="1:38" ht="20.25" customHeight="1" x14ac:dyDescent="0.2">
      <c r="A16" s="5" t="s">
        <v>67</v>
      </c>
      <c r="B16" s="6" t="s">
        <v>68</v>
      </c>
      <c r="C16" s="6" t="s">
        <v>25</v>
      </c>
      <c r="D16" s="7">
        <v>1455000</v>
      </c>
      <c r="E16" s="7">
        <v>1402000</v>
      </c>
      <c r="F16" s="7">
        <v>1455000</v>
      </c>
      <c r="G16" s="7">
        <v>1312000</v>
      </c>
      <c r="H16" s="7">
        <v>0</v>
      </c>
      <c r="I16" s="7">
        <v>0</v>
      </c>
      <c r="J16" s="8">
        <f t="shared" si="0"/>
        <v>5624000</v>
      </c>
      <c r="K16" s="6" t="s">
        <v>26</v>
      </c>
      <c r="L16" s="7">
        <v>1455000</v>
      </c>
      <c r="M16" s="7">
        <v>1322000</v>
      </c>
      <c r="N16" s="7">
        <v>1455000</v>
      </c>
      <c r="O16" s="7">
        <v>1488000</v>
      </c>
      <c r="P16" s="7">
        <v>0</v>
      </c>
      <c r="Q16" s="7">
        <v>0</v>
      </c>
      <c r="R16" s="8">
        <f t="shared" si="1"/>
        <v>5720000</v>
      </c>
      <c r="S16" s="6" t="s">
        <v>26</v>
      </c>
      <c r="T16" s="7">
        <v>1455000</v>
      </c>
      <c r="U16" s="7">
        <v>1298000</v>
      </c>
      <c r="V16" s="7">
        <v>1455000</v>
      </c>
      <c r="W16" s="7">
        <v>1488000</v>
      </c>
      <c r="X16" s="7">
        <v>0</v>
      </c>
      <c r="Y16" s="7">
        <v>0</v>
      </c>
      <c r="Z16" s="8">
        <f t="shared" si="2"/>
        <v>5696000</v>
      </c>
      <c r="AA16" s="6" t="s">
        <v>26</v>
      </c>
      <c r="AB16" s="9">
        <v>1455000</v>
      </c>
      <c r="AC16" s="9">
        <v>1298000</v>
      </c>
      <c r="AD16" s="9">
        <v>1455000</v>
      </c>
      <c r="AE16" s="9">
        <v>1568000</v>
      </c>
      <c r="AF16" s="9">
        <v>0</v>
      </c>
      <c r="AG16" s="9">
        <v>0</v>
      </c>
      <c r="AH16" s="27">
        <f>SUM(AB16:AG16)</f>
        <v>5776000</v>
      </c>
      <c r="AI16" s="6" t="s">
        <v>26</v>
      </c>
      <c r="AJ16" s="28">
        <f>J16+R16+Z16+AH16</f>
        <v>22816000</v>
      </c>
      <c r="AK16" s="25" t="s">
        <v>69</v>
      </c>
      <c r="AL16" s="26" t="s">
        <v>70</v>
      </c>
    </row>
    <row r="17" spans="1:38" ht="15" customHeight="1" x14ac:dyDescent="0.2">
      <c r="A17" s="5" t="s">
        <v>71</v>
      </c>
      <c r="B17" s="6" t="s">
        <v>72</v>
      </c>
      <c r="C17" s="6" t="s">
        <v>25</v>
      </c>
      <c r="D17" s="7">
        <v>1455000</v>
      </c>
      <c r="E17" s="7">
        <v>1402000</v>
      </c>
      <c r="F17" s="7">
        <v>1455000</v>
      </c>
      <c r="G17" s="7">
        <v>1312000</v>
      </c>
      <c r="H17" s="7">
        <v>0</v>
      </c>
      <c r="I17" s="7">
        <v>0</v>
      </c>
      <c r="J17" s="8">
        <f t="shared" si="0"/>
        <v>5624000</v>
      </c>
      <c r="K17" s="6" t="s">
        <v>26</v>
      </c>
      <c r="L17" s="7">
        <v>1455000</v>
      </c>
      <c r="M17" s="7">
        <v>1322000</v>
      </c>
      <c r="N17" s="7">
        <v>1455000</v>
      </c>
      <c r="O17" s="7">
        <v>1488000</v>
      </c>
      <c r="P17" s="7">
        <v>0</v>
      </c>
      <c r="Q17" s="7">
        <v>0</v>
      </c>
      <c r="R17" s="8">
        <f t="shared" si="1"/>
        <v>5720000</v>
      </c>
      <c r="S17" s="6" t="s">
        <v>26</v>
      </c>
      <c r="T17" s="7">
        <v>1455000</v>
      </c>
      <c r="U17" s="7">
        <v>1298000</v>
      </c>
      <c r="V17" s="7">
        <v>1455000</v>
      </c>
      <c r="W17" s="7">
        <v>1488000</v>
      </c>
      <c r="X17" s="7">
        <v>0</v>
      </c>
      <c r="Y17" s="7">
        <v>0</v>
      </c>
      <c r="Z17" s="8">
        <f t="shared" si="2"/>
        <v>5696000</v>
      </c>
      <c r="AA17" s="6" t="s">
        <v>26</v>
      </c>
      <c r="AB17" s="9">
        <v>1455000</v>
      </c>
      <c r="AC17" s="9">
        <v>1298000</v>
      </c>
      <c r="AD17" s="9">
        <v>1455000</v>
      </c>
      <c r="AE17" s="9">
        <v>1568000</v>
      </c>
      <c r="AF17" s="9">
        <v>0</v>
      </c>
      <c r="AG17" s="9">
        <v>0</v>
      </c>
      <c r="AH17" s="27">
        <f>SUM(AB17:AG17)</f>
        <v>5776000</v>
      </c>
      <c r="AI17" s="6" t="s">
        <v>26</v>
      </c>
      <c r="AJ17" s="28">
        <f>J17+R17+Z17+AH17</f>
        <v>22816000</v>
      </c>
      <c r="AK17" s="25" t="s">
        <v>73</v>
      </c>
      <c r="AL17" s="26" t="s">
        <v>74</v>
      </c>
    </row>
    <row r="18" spans="1:38" ht="15" customHeight="1" x14ac:dyDescent="0.2">
      <c r="A18" s="5" t="s">
        <v>75</v>
      </c>
      <c r="B18" s="6" t="s">
        <v>76</v>
      </c>
      <c r="C18" s="6" t="s">
        <v>25</v>
      </c>
      <c r="D18" s="7">
        <v>400000</v>
      </c>
      <c r="E18" s="7">
        <v>430000</v>
      </c>
      <c r="F18" s="7">
        <v>400000</v>
      </c>
      <c r="G18" s="7">
        <v>365000</v>
      </c>
      <c r="H18" s="7">
        <v>0</v>
      </c>
      <c r="I18" s="7">
        <v>0</v>
      </c>
      <c r="J18" s="8">
        <f t="shared" si="0"/>
        <v>1595000</v>
      </c>
      <c r="K18" s="6" t="s">
        <v>26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8">
        <f t="shared" si="1"/>
        <v>0</v>
      </c>
      <c r="S18" s="6" t="s">
        <v>27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8">
        <f t="shared" si="2"/>
        <v>0</v>
      </c>
      <c r="AA18" s="6" t="s">
        <v>27</v>
      </c>
      <c r="AB18" s="9" t="s">
        <v>28</v>
      </c>
      <c r="AC18" s="9" t="s">
        <v>28</v>
      </c>
      <c r="AD18" s="9" t="s">
        <v>28</v>
      </c>
      <c r="AE18" s="9" t="s">
        <v>28</v>
      </c>
      <c r="AF18" s="9" t="s">
        <v>28</v>
      </c>
      <c r="AG18" s="9" t="s">
        <v>28</v>
      </c>
      <c r="AH18" s="10" t="s">
        <v>28</v>
      </c>
      <c r="AI18" s="6" t="s">
        <v>27</v>
      </c>
      <c r="AJ18" s="11">
        <f>J18+R18+Z18</f>
        <v>1595000</v>
      </c>
      <c r="AK18" s="5" t="s">
        <v>29</v>
      </c>
      <c r="AL18" s="12" t="s">
        <v>77</v>
      </c>
    </row>
    <row r="19" spans="1:38" ht="15" customHeight="1" x14ac:dyDescent="0.2">
      <c r="A19" s="5" t="s">
        <v>78</v>
      </c>
      <c r="B19" s="6" t="s">
        <v>79</v>
      </c>
      <c r="C19" s="6" t="s">
        <v>25</v>
      </c>
      <c r="D19" s="7">
        <v>530000</v>
      </c>
      <c r="E19" s="7">
        <v>985250</v>
      </c>
      <c r="F19" s="7">
        <v>530000</v>
      </c>
      <c r="G19" s="7">
        <v>895250</v>
      </c>
      <c r="H19" s="7">
        <v>0</v>
      </c>
      <c r="I19" s="7">
        <v>0</v>
      </c>
      <c r="J19" s="8">
        <f t="shared" si="0"/>
        <v>2940500</v>
      </c>
      <c r="K19" s="6" t="s">
        <v>26</v>
      </c>
      <c r="L19" s="7">
        <v>530000</v>
      </c>
      <c r="M19" s="7">
        <v>905250</v>
      </c>
      <c r="N19" s="7">
        <v>530000</v>
      </c>
      <c r="O19" s="7">
        <v>1151250</v>
      </c>
      <c r="P19" s="7">
        <v>0</v>
      </c>
      <c r="Q19" s="7">
        <v>0</v>
      </c>
      <c r="R19" s="8">
        <f t="shared" si="1"/>
        <v>3116500</v>
      </c>
      <c r="S19" s="6" t="s">
        <v>26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8">
        <f t="shared" si="2"/>
        <v>0</v>
      </c>
      <c r="AA19" s="6" t="s">
        <v>27</v>
      </c>
      <c r="AB19" s="9" t="s">
        <v>28</v>
      </c>
      <c r="AC19" s="9" t="s">
        <v>28</v>
      </c>
      <c r="AD19" s="9" t="s">
        <v>28</v>
      </c>
      <c r="AE19" s="9" t="s">
        <v>28</v>
      </c>
      <c r="AF19" s="9" t="s">
        <v>28</v>
      </c>
      <c r="AG19" s="9" t="s">
        <v>28</v>
      </c>
      <c r="AH19" s="10" t="s">
        <v>28</v>
      </c>
      <c r="AI19" s="6" t="s">
        <v>27</v>
      </c>
      <c r="AJ19" s="13">
        <f>J19+R19+Z19</f>
        <v>6057000</v>
      </c>
      <c r="AK19" s="5" t="s">
        <v>36</v>
      </c>
      <c r="AL19" s="14" t="s">
        <v>80</v>
      </c>
    </row>
    <row r="20" spans="1:38" ht="15" customHeight="1" x14ac:dyDescent="0.2">
      <c r="A20" s="5" t="s">
        <v>71</v>
      </c>
      <c r="B20" s="6" t="s">
        <v>81</v>
      </c>
      <c r="C20" s="6" t="s">
        <v>25</v>
      </c>
      <c r="D20" s="7">
        <v>1455000</v>
      </c>
      <c r="E20" s="7">
        <v>1402000</v>
      </c>
      <c r="F20" s="7">
        <v>1455000</v>
      </c>
      <c r="G20" s="7">
        <v>1312000</v>
      </c>
      <c r="H20" s="7">
        <v>0</v>
      </c>
      <c r="I20" s="7">
        <v>0</v>
      </c>
      <c r="J20" s="8">
        <f t="shared" si="0"/>
        <v>5624000</v>
      </c>
      <c r="K20" s="6" t="s">
        <v>26</v>
      </c>
      <c r="L20" s="7">
        <v>1455000</v>
      </c>
      <c r="M20" s="7">
        <v>1322000</v>
      </c>
      <c r="N20" s="7">
        <v>1455000</v>
      </c>
      <c r="O20" s="7">
        <v>1488000</v>
      </c>
      <c r="P20" s="7">
        <v>0</v>
      </c>
      <c r="Q20" s="7">
        <v>0</v>
      </c>
      <c r="R20" s="8">
        <f t="shared" si="1"/>
        <v>5720000</v>
      </c>
      <c r="S20" s="6" t="s">
        <v>26</v>
      </c>
      <c r="T20" s="7">
        <v>1455000</v>
      </c>
      <c r="U20" s="7">
        <v>1298000</v>
      </c>
      <c r="V20" s="7">
        <v>1455000</v>
      </c>
      <c r="W20" s="7">
        <v>1488000</v>
      </c>
      <c r="X20" s="7">
        <v>0</v>
      </c>
      <c r="Y20" s="7">
        <v>0</v>
      </c>
      <c r="Z20" s="8">
        <f t="shared" si="2"/>
        <v>5696000</v>
      </c>
      <c r="AA20" s="6" t="s">
        <v>26</v>
      </c>
      <c r="AB20" s="9">
        <v>1455000</v>
      </c>
      <c r="AC20" s="9">
        <v>1298000</v>
      </c>
      <c r="AD20" s="9">
        <v>1455000</v>
      </c>
      <c r="AE20" s="9">
        <v>1568000</v>
      </c>
      <c r="AF20" s="9">
        <v>0</v>
      </c>
      <c r="AG20" s="9">
        <v>0</v>
      </c>
      <c r="AH20" s="27">
        <f>SUM(AB20:AG20)</f>
        <v>5776000</v>
      </c>
      <c r="AI20" s="6" t="s">
        <v>26</v>
      </c>
      <c r="AJ20" s="28">
        <f>J20+R20+Z20+AH20</f>
        <v>22816000</v>
      </c>
      <c r="AK20" s="25" t="s">
        <v>73</v>
      </c>
      <c r="AL20" s="26" t="s">
        <v>82</v>
      </c>
    </row>
    <row r="21" spans="1:38" ht="15" customHeight="1" x14ac:dyDescent="0.2">
      <c r="A21" s="5" t="s">
        <v>83</v>
      </c>
      <c r="B21" s="6" t="s">
        <v>84</v>
      </c>
      <c r="C21" s="6" t="s">
        <v>25</v>
      </c>
      <c r="D21" s="7">
        <v>430000</v>
      </c>
      <c r="E21" s="7">
        <v>767000</v>
      </c>
      <c r="F21" s="7">
        <v>430000</v>
      </c>
      <c r="G21" s="7">
        <v>677000</v>
      </c>
      <c r="H21" s="7">
        <v>0</v>
      </c>
      <c r="I21" s="7">
        <v>0</v>
      </c>
      <c r="J21" s="8">
        <f t="shared" si="0"/>
        <v>2304000</v>
      </c>
      <c r="K21" s="6" t="s">
        <v>26</v>
      </c>
      <c r="L21" s="7">
        <v>430000</v>
      </c>
      <c r="M21" s="7">
        <v>687000</v>
      </c>
      <c r="N21" s="7">
        <v>430000</v>
      </c>
      <c r="O21" s="7">
        <v>733000</v>
      </c>
      <c r="P21" s="7">
        <v>0</v>
      </c>
      <c r="Q21" s="7">
        <v>0</v>
      </c>
      <c r="R21" s="8">
        <f t="shared" si="1"/>
        <v>2280000</v>
      </c>
      <c r="S21" s="6" t="s">
        <v>26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8">
        <f t="shared" si="2"/>
        <v>0</v>
      </c>
      <c r="AA21" s="6" t="s">
        <v>27</v>
      </c>
      <c r="AB21" s="9" t="s">
        <v>28</v>
      </c>
      <c r="AC21" s="9" t="s">
        <v>28</v>
      </c>
      <c r="AD21" s="9" t="s">
        <v>28</v>
      </c>
      <c r="AE21" s="9" t="s">
        <v>28</v>
      </c>
      <c r="AF21" s="9" t="s">
        <v>28</v>
      </c>
      <c r="AG21" s="9" t="s">
        <v>28</v>
      </c>
      <c r="AH21" s="10" t="s">
        <v>28</v>
      </c>
      <c r="AI21" s="6" t="s">
        <v>27</v>
      </c>
      <c r="AJ21" s="13">
        <f>J21+R21+Z21</f>
        <v>4584000</v>
      </c>
      <c r="AK21" s="5" t="s">
        <v>36</v>
      </c>
      <c r="AL21" s="14" t="s">
        <v>85</v>
      </c>
    </row>
    <row r="22" spans="1:38" ht="15" customHeight="1" x14ac:dyDescent="0.2">
      <c r="A22" s="5" t="s">
        <v>71</v>
      </c>
      <c r="B22" s="6" t="s">
        <v>86</v>
      </c>
      <c r="C22" s="6" t="s">
        <v>25</v>
      </c>
      <c r="D22" s="7">
        <v>1455000</v>
      </c>
      <c r="E22" s="7">
        <v>1402000</v>
      </c>
      <c r="F22" s="7">
        <v>1455000</v>
      </c>
      <c r="G22" s="7">
        <v>1312000</v>
      </c>
      <c r="H22" s="7">
        <v>0</v>
      </c>
      <c r="I22" s="7">
        <v>0</v>
      </c>
      <c r="J22" s="8">
        <f t="shared" si="0"/>
        <v>5624000</v>
      </c>
      <c r="K22" s="6" t="s">
        <v>26</v>
      </c>
      <c r="L22" s="7">
        <v>1455000</v>
      </c>
      <c r="M22" s="7">
        <v>1322000</v>
      </c>
      <c r="N22" s="7">
        <v>1455000</v>
      </c>
      <c r="O22" s="7">
        <v>1488000</v>
      </c>
      <c r="P22" s="7">
        <v>0</v>
      </c>
      <c r="Q22" s="7">
        <v>0</v>
      </c>
      <c r="R22" s="8">
        <f t="shared" si="1"/>
        <v>5720000</v>
      </c>
      <c r="S22" s="6" t="s">
        <v>26</v>
      </c>
      <c r="T22" s="7">
        <v>1455000</v>
      </c>
      <c r="U22" s="7">
        <v>1298000</v>
      </c>
      <c r="V22" s="7">
        <v>1455000</v>
      </c>
      <c r="W22" s="7">
        <v>1488000</v>
      </c>
      <c r="X22" s="7">
        <v>0</v>
      </c>
      <c r="Y22" s="7">
        <v>0</v>
      </c>
      <c r="Z22" s="8">
        <f t="shared" si="2"/>
        <v>5696000</v>
      </c>
      <c r="AA22" s="6" t="s">
        <v>26</v>
      </c>
      <c r="AB22" s="9">
        <v>1455000</v>
      </c>
      <c r="AC22" s="9">
        <v>1298000</v>
      </c>
      <c r="AD22" s="9">
        <v>1455000</v>
      </c>
      <c r="AE22" s="9">
        <v>1568000</v>
      </c>
      <c r="AF22" s="9">
        <v>0</v>
      </c>
      <c r="AG22" s="9">
        <v>0</v>
      </c>
      <c r="AH22" s="27">
        <f>SUM(AB22:AG22)</f>
        <v>5776000</v>
      </c>
      <c r="AI22" s="6" t="s">
        <v>26</v>
      </c>
      <c r="AJ22" s="28">
        <f>J22+R22+Z22+AH22</f>
        <v>22816000</v>
      </c>
      <c r="AK22" s="25" t="s">
        <v>73</v>
      </c>
      <c r="AL22" s="26" t="s">
        <v>87</v>
      </c>
    </row>
    <row r="23" spans="1:38" ht="20.25" customHeight="1" x14ac:dyDescent="0.2">
      <c r="A23" s="5" t="s">
        <v>71</v>
      </c>
      <c r="B23" s="6" t="s">
        <v>88</v>
      </c>
      <c r="C23" s="6" t="s">
        <v>25</v>
      </c>
      <c r="D23" s="7">
        <v>1455000</v>
      </c>
      <c r="E23" s="7">
        <v>1402000</v>
      </c>
      <c r="F23" s="7">
        <v>1455000</v>
      </c>
      <c r="G23" s="7">
        <v>1312000</v>
      </c>
      <c r="H23" s="7">
        <v>0</v>
      </c>
      <c r="I23" s="7">
        <v>0</v>
      </c>
      <c r="J23" s="8">
        <f t="shared" si="0"/>
        <v>5624000</v>
      </c>
      <c r="K23" s="6" t="s">
        <v>26</v>
      </c>
      <c r="L23" s="7">
        <v>1455000</v>
      </c>
      <c r="M23" s="7">
        <v>1322000</v>
      </c>
      <c r="N23" s="7">
        <v>1455000</v>
      </c>
      <c r="O23" s="7">
        <v>1488000</v>
      </c>
      <c r="P23" s="7">
        <v>0</v>
      </c>
      <c r="Q23" s="7">
        <v>0</v>
      </c>
      <c r="R23" s="8">
        <f t="shared" si="1"/>
        <v>5720000</v>
      </c>
      <c r="S23" s="6" t="s">
        <v>26</v>
      </c>
      <c r="T23" s="7">
        <v>1455000</v>
      </c>
      <c r="U23" s="7">
        <v>1298000</v>
      </c>
      <c r="V23" s="7">
        <v>1455000</v>
      </c>
      <c r="W23" s="7">
        <v>1488000</v>
      </c>
      <c r="X23" s="7">
        <v>0</v>
      </c>
      <c r="Y23" s="7">
        <v>0</v>
      </c>
      <c r="Z23" s="8">
        <f t="shared" si="2"/>
        <v>5696000</v>
      </c>
      <c r="AA23" s="6" t="s">
        <v>26</v>
      </c>
      <c r="AB23" s="9">
        <v>1455000</v>
      </c>
      <c r="AC23" s="9">
        <v>1298000</v>
      </c>
      <c r="AD23" s="9">
        <v>1455000</v>
      </c>
      <c r="AE23" s="9">
        <v>1568000</v>
      </c>
      <c r="AF23" s="9">
        <v>0</v>
      </c>
      <c r="AG23" s="9">
        <v>0</v>
      </c>
      <c r="AH23" s="27">
        <f>SUM(AB23:AG23)</f>
        <v>5776000</v>
      </c>
      <c r="AI23" s="6" t="s">
        <v>26</v>
      </c>
      <c r="AJ23" s="28">
        <f>J23+R23+Z23+AH23</f>
        <v>22816000</v>
      </c>
      <c r="AK23" s="25" t="s">
        <v>89</v>
      </c>
      <c r="AL23" s="26" t="s">
        <v>90</v>
      </c>
    </row>
    <row r="24" spans="1:38" ht="20.25" customHeight="1" x14ac:dyDescent="0.2">
      <c r="A24" s="5" t="s">
        <v>91</v>
      </c>
      <c r="B24" s="6" t="s">
        <v>92</v>
      </c>
      <c r="C24" s="6" t="s">
        <v>25</v>
      </c>
      <c r="D24" s="7">
        <v>630000</v>
      </c>
      <c r="E24" s="7">
        <v>767000</v>
      </c>
      <c r="F24" s="7">
        <v>630000</v>
      </c>
      <c r="G24" s="7">
        <v>677000</v>
      </c>
      <c r="H24" s="7">
        <v>0</v>
      </c>
      <c r="I24" s="7">
        <v>0</v>
      </c>
      <c r="J24" s="8">
        <f t="shared" si="0"/>
        <v>2704000</v>
      </c>
      <c r="K24" s="6" t="s">
        <v>26</v>
      </c>
      <c r="L24" s="7">
        <v>630000</v>
      </c>
      <c r="M24" s="7">
        <v>687000</v>
      </c>
      <c r="N24" s="7">
        <v>630000</v>
      </c>
      <c r="O24" s="7">
        <v>653000</v>
      </c>
      <c r="P24" s="7">
        <v>0</v>
      </c>
      <c r="Q24" s="7">
        <v>0</v>
      </c>
      <c r="R24" s="8">
        <f t="shared" si="1"/>
        <v>2600000</v>
      </c>
      <c r="S24" s="6" t="s">
        <v>26</v>
      </c>
      <c r="T24" s="7">
        <v>630000</v>
      </c>
      <c r="U24" s="7">
        <v>663000</v>
      </c>
      <c r="V24" s="7">
        <v>630000</v>
      </c>
      <c r="W24" s="7">
        <v>933000</v>
      </c>
      <c r="X24" s="7">
        <v>0</v>
      </c>
      <c r="Y24" s="7">
        <v>0</v>
      </c>
      <c r="Z24" s="8">
        <f t="shared" si="2"/>
        <v>2856000</v>
      </c>
      <c r="AA24" s="6" t="s">
        <v>26</v>
      </c>
      <c r="AB24" s="9" t="s">
        <v>28</v>
      </c>
      <c r="AC24" s="9" t="s">
        <v>28</v>
      </c>
      <c r="AD24" s="9" t="s">
        <v>28</v>
      </c>
      <c r="AE24" s="9" t="s">
        <v>28</v>
      </c>
      <c r="AF24" s="9" t="s">
        <v>28</v>
      </c>
      <c r="AG24" s="9" t="s">
        <v>28</v>
      </c>
      <c r="AH24" s="10" t="s">
        <v>28</v>
      </c>
      <c r="AI24" s="6" t="s">
        <v>27</v>
      </c>
      <c r="AJ24" s="13">
        <f>J24+R24+Z24</f>
        <v>8160000</v>
      </c>
      <c r="AK24" s="25" t="s">
        <v>93</v>
      </c>
      <c r="AL24" s="26" t="s">
        <v>94</v>
      </c>
    </row>
    <row r="25" spans="1:38" ht="15" customHeight="1" x14ac:dyDescent="0.2">
      <c r="A25" s="5" t="s">
        <v>71</v>
      </c>
      <c r="B25" s="6" t="s">
        <v>95</v>
      </c>
      <c r="C25" s="6" t="s">
        <v>25</v>
      </c>
      <c r="D25" s="7">
        <v>1455000</v>
      </c>
      <c r="E25" s="7">
        <v>1402000</v>
      </c>
      <c r="F25" s="7">
        <v>1455000</v>
      </c>
      <c r="G25" s="7">
        <v>1312000</v>
      </c>
      <c r="H25" s="7">
        <v>0</v>
      </c>
      <c r="I25" s="7">
        <v>0</v>
      </c>
      <c r="J25" s="8">
        <f t="shared" si="0"/>
        <v>5624000</v>
      </c>
      <c r="K25" s="6" t="s">
        <v>26</v>
      </c>
      <c r="L25" s="7">
        <v>1455000</v>
      </c>
      <c r="M25" s="7">
        <v>1322000</v>
      </c>
      <c r="N25" s="7">
        <v>1455000</v>
      </c>
      <c r="O25" s="7">
        <v>1488000</v>
      </c>
      <c r="P25" s="7">
        <v>0</v>
      </c>
      <c r="Q25" s="7">
        <v>0</v>
      </c>
      <c r="R25" s="8">
        <f t="shared" si="1"/>
        <v>5720000</v>
      </c>
      <c r="S25" s="6" t="s">
        <v>26</v>
      </c>
      <c r="T25" s="7">
        <v>1455000</v>
      </c>
      <c r="U25" s="7">
        <v>1298000</v>
      </c>
      <c r="V25" s="7">
        <v>1455000</v>
      </c>
      <c r="W25" s="7">
        <v>1488000</v>
      </c>
      <c r="X25" s="7">
        <v>0</v>
      </c>
      <c r="Y25" s="7">
        <v>0</v>
      </c>
      <c r="Z25" s="8">
        <f t="shared" si="2"/>
        <v>5696000</v>
      </c>
      <c r="AA25" s="6" t="s">
        <v>26</v>
      </c>
      <c r="AB25" s="9">
        <v>1455000</v>
      </c>
      <c r="AC25" s="9">
        <v>1298000</v>
      </c>
      <c r="AD25" s="9">
        <v>1455000</v>
      </c>
      <c r="AE25" s="9">
        <v>1568000</v>
      </c>
      <c r="AF25" s="9">
        <v>0</v>
      </c>
      <c r="AG25" s="9">
        <v>0</v>
      </c>
      <c r="AH25" s="27">
        <f>SUM(AB25:AG25)</f>
        <v>5776000</v>
      </c>
      <c r="AI25" s="6" t="s">
        <v>26</v>
      </c>
      <c r="AJ25" s="28">
        <f>J25+R25+Z25+AH25</f>
        <v>22816000</v>
      </c>
      <c r="AK25" s="25" t="s">
        <v>73</v>
      </c>
      <c r="AL25" s="26" t="s">
        <v>96</v>
      </c>
    </row>
    <row r="26" spans="1:38" ht="15" customHeight="1" x14ac:dyDescent="0.2">
      <c r="A26" s="5" t="s">
        <v>71</v>
      </c>
      <c r="B26" s="6" t="s">
        <v>97</v>
      </c>
      <c r="C26" s="6" t="s">
        <v>25</v>
      </c>
      <c r="D26" s="7">
        <v>1455000</v>
      </c>
      <c r="E26" s="7">
        <v>1402000</v>
      </c>
      <c r="F26" s="7">
        <v>1455000</v>
      </c>
      <c r="G26" s="7">
        <v>1312000</v>
      </c>
      <c r="H26" s="7">
        <v>0</v>
      </c>
      <c r="I26" s="7">
        <v>0</v>
      </c>
      <c r="J26" s="8">
        <f t="shared" si="0"/>
        <v>5624000</v>
      </c>
      <c r="K26" s="6" t="s">
        <v>26</v>
      </c>
      <c r="L26" s="7">
        <v>1455000</v>
      </c>
      <c r="M26" s="7">
        <v>1322000</v>
      </c>
      <c r="N26" s="7">
        <v>1455000</v>
      </c>
      <c r="O26" s="7">
        <v>1488000</v>
      </c>
      <c r="P26" s="7">
        <v>0</v>
      </c>
      <c r="Q26" s="7">
        <v>0</v>
      </c>
      <c r="R26" s="8">
        <f t="shared" si="1"/>
        <v>5720000</v>
      </c>
      <c r="S26" s="6" t="s">
        <v>26</v>
      </c>
      <c r="T26" s="7">
        <v>1455000</v>
      </c>
      <c r="U26" s="7">
        <v>1298000</v>
      </c>
      <c r="V26" s="7">
        <v>1455000</v>
      </c>
      <c r="W26" s="7">
        <v>1488000</v>
      </c>
      <c r="X26" s="7">
        <v>0</v>
      </c>
      <c r="Y26" s="7">
        <v>0</v>
      </c>
      <c r="Z26" s="8">
        <f t="shared" si="2"/>
        <v>5696000</v>
      </c>
      <c r="AA26" s="6" t="s">
        <v>26</v>
      </c>
      <c r="AB26" s="9">
        <v>1455000</v>
      </c>
      <c r="AC26" s="9">
        <v>1298000</v>
      </c>
      <c r="AD26" s="9">
        <v>1455000</v>
      </c>
      <c r="AE26" s="9">
        <v>1568000</v>
      </c>
      <c r="AF26" s="9">
        <v>0</v>
      </c>
      <c r="AG26" s="9">
        <v>0</v>
      </c>
      <c r="AH26" s="27">
        <f>SUM(AB26:AG26)</f>
        <v>5776000</v>
      </c>
      <c r="AI26" s="6" t="s">
        <v>26</v>
      </c>
      <c r="AJ26" s="28">
        <f>J26+R26+Z26+AH26</f>
        <v>22816000</v>
      </c>
      <c r="AK26" s="25" t="s">
        <v>73</v>
      </c>
      <c r="AL26" s="26" t="s">
        <v>98</v>
      </c>
    </row>
    <row r="27" spans="1:38" ht="15" customHeight="1" x14ac:dyDescent="0.2">
      <c r="A27" s="5" t="s">
        <v>99</v>
      </c>
      <c r="B27" s="6" t="s">
        <v>100</v>
      </c>
      <c r="C27" s="6" t="s">
        <v>25</v>
      </c>
      <c r="D27" s="7">
        <v>400000</v>
      </c>
      <c r="E27" s="7">
        <v>430000</v>
      </c>
      <c r="F27" s="7">
        <v>400000</v>
      </c>
      <c r="G27" s="7">
        <v>365000</v>
      </c>
      <c r="H27" s="7">
        <v>0</v>
      </c>
      <c r="I27" s="7">
        <v>0</v>
      </c>
      <c r="J27" s="8">
        <f t="shared" si="0"/>
        <v>1595000</v>
      </c>
      <c r="K27" s="6" t="s">
        <v>26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8">
        <f t="shared" si="1"/>
        <v>0</v>
      </c>
      <c r="S27" s="6" t="s">
        <v>27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8">
        <f t="shared" si="2"/>
        <v>0</v>
      </c>
      <c r="AA27" s="6" t="s">
        <v>27</v>
      </c>
      <c r="AB27" s="9" t="s">
        <v>28</v>
      </c>
      <c r="AC27" s="9" t="s">
        <v>28</v>
      </c>
      <c r="AD27" s="9" t="s">
        <v>28</v>
      </c>
      <c r="AE27" s="9" t="s">
        <v>28</v>
      </c>
      <c r="AF27" s="9" t="s">
        <v>28</v>
      </c>
      <c r="AG27" s="9" t="s">
        <v>28</v>
      </c>
      <c r="AH27" s="10" t="s">
        <v>28</v>
      </c>
      <c r="AI27" s="6" t="s">
        <v>27</v>
      </c>
      <c r="AJ27" s="11">
        <f t="shared" ref="AJ27:AJ83" si="4">J27+R27+Z27</f>
        <v>1595000</v>
      </c>
      <c r="AK27" s="5" t="s">
        <v>101</v>
      </c>
      <c r="AL27" s="12" t="s">
        <v>102</v>
      </c>
    </row>
    <row r="28" spans="1:38" ht="15" customHeight="1" x14ac:dyDescent="0.2">
      <c r="A28" s="5" t="s">
        <v>103</v>
      </c>
      <c r="B28" s="6" t="s">
        <v>104</v>
      </c>
      <c r="C28" s="6" t="s">
        <v>25</v>
      </c>
      <c r="D28" s="7">
        <v>630000</v>
      </c>
      <c r="E28" s="7">
        <v>767000</v>
      </c>
      <c r="F28" s="7">
        <v>630000</v>
      </c>
      <c r="G28" s="7">
        <v>677000</v>
      </c>
      <c r="H28" s="7">
        <v>0</v>
      </c>
      <c r="I28" s="7">
        <v>0</v>
      </c>
      <c r="J28" s="8">
        <f t="shared" si="0"/>
        <v>2704000</v>
      </c>
      <c r="K28" s="6" t="s">
        <v>26</v>
      </c>
      <c r="L28" s="7">
        <v>630000</v>
      </c>
      <c r="M28" s="7">
        <v>687000</v>
      </c>
      <c r="N28" s="7">
        <v>630000</v>
      </c>
      <c r="O28" s="7">
        <v>653000</v>
      </c>
      <c r="P28" s="7">
        <v>0</v>
      </c>
      <c r="Q28" s="7">
        <v>0</v>
      </c>
      <c r="R28" s="8">
        <f t="shared" si="1"/>
        <v>2600000</v>
      </c>
      <c r="S28" s="6" t="s">
        <v>26</v>
      </c>
      <c r="T28" s="7">
        <v>630000</v>
      </c>
      <c r="U28" s="7">
        <v>663000</v>
      </c>
      <c r="V28" s="7">
        <v>630000</v>
      </c>
      <c r="W28" s="7">
        <v>933000</v>
      </c>
      <c r="X28" s="7">
        <v>0</v>
      </c>
      <c r="Y28" s="7">
        <v>0</v>
      </c>
      <c r="Z28" s="8">
        <f t="shared" si="2"/>
        <v>2856000</v>
      </c>
      <c r="AA28" s="6" t="s">
        <v>26</v>
      </c>
      <c r="AB28" s="9" t="s">
        <v>28</v>
      </c>
      <c r="AC28" s="9" t="s">
        <v>28</v>
      </c>
      <c r="AD28" s="9" t="s">
        <v>28</v>
      </c>
      <c r="AE28" s="9" t="s">
        <v>28</v>
      </c>
      <c r="AF28" s="9" t="s">
        <v>28</v>
      </c>
      <c r="AG28" s="9" t="s">
        <v>28</v>
      </c>
      <c r="AH28" s="10" t="s">
        <v>28</v>
      </c>
      <c r="AI28" s="6" t="s">
        <v>27</v>
      </c>
      <c r="AJ28" s="13">
        <f t="shared" si="4"/>
        <v>8160000</v>
      </c>
      <c r="AK28" s="5" t="s">
        <v>105</v>
      </c>
      <c r="AL28" s="14" t="s">
        <v>106</v>
      </c>
    </row>
    <row r="29" spans="1:38" ht="15" customHeight="1" x14ac:dyDescent="0.2">
      <c r="A29" s="5" t="s">
        <v>107</v>
      </c>
      <c r="B29" s="6" t="s">
        <v>108</v>
      </c>
      <c r="C29" s="6" t="s">
        <v>25</v>
      </c>
      <c r="D29" s="7">
        <v>780000</v>
      </c>
      <c r="E29" s="7">
        <v>867000</v>
      </c>
      <c r="F29" s="7">
        <v>780000</v>
      </c>
      <c r="G29" s="7">
        <v>677000</v>
      </c>
      <c r="H29" s="7">
        <v>0</v>
      </c>
      <c r="I29" s="7">
        <v>0</v>
      </c>
      <c r="J29" s="8">
        <f t="shared" si="0"/>
        <v>3104000</v>
      </c>
      <c r="K29" s="6" t="s">
        <v>26</v>
      </c>
      <c r="L29" s="7">
        <v>780000</v>
      </c>
      <c r="M29" s="7">
        <v>787000</v>
      </c>
      <c r="N29" s="7">
        <v>780000</v>
      </c>
      <c r="O29" s="7">
        <v>853000</v>
      </c>
      <c r="P29" s="7">
        <v>0</v>
      </c>
      <c r="Q29" s="7">
        <v>0</v>
      </c>
      <c r="R29" s="8">
        <f t="shared" si="1"/>
        <v>3200000</v>
      </c>
      <c r="S29" s="6" t="s">
        <v>26</v>
      </c>
      <c r="T29" s="7">
        <v>780000</v>
      </c>
      <c r="U29" s="7">
        <v>763000</v>
      </c>
      <c r="V29" s="7">
        <v>780000</v>
      </c>
      <c r="W29" s="7">
        <v>733000</v>
      </c>
      <c r="X29" s="7">
        <v>0</v>
      </c>
      <c r="Y29" s="7">
        <v>0</v>
      </c>
      <c r="Z29" s="8">
        <f t="shared" si="2"/>
        <v>3056000</v>
      </c>
      <c r="AA29" s="6" t="s">
        <v>26</v>
      </c>
      <c r="AB29" s="9" t="s">
        <v>28</v>
      </c>
      <c r="AC29" s="9" t="s">
        <v>28</v>
      </c>
      <c r="AD29" s="9" t="s">
        <v>28</v>
      </c>
      <c r="AE29" s="9" t="s">
        <v>28</v>
      </c>
      <c r="AF29" s="9" t="s">
        <v>28</v>
      </c>
      <c r="AG29" s="9" t="s">
        <v>28</v>
      </c>
      <c r="AH29" s="10" t="s">
        <v>28</v>
      </c>
      <c r="AI29" s="6" t="s">
        <v>27</v>
      </c>
      <c r="AJ29" s="13">
        <f t="shared" si="4"/>
        <v>9360000</v>
      </c>
      <c r="AK29" s="5" t="s">
        <v>105</v>
      </c>
      <c r="AL29" s="14" t="s">
        <v>109</v>
      </c>
    </row>
    <row r="30" spans="1:38" ht="15" customHeight="1" x14ac:dyDescent="0.2">
      <c r="A30" s="5" t="s">
        <v>110</v>
      </c>
      <c r="B30" s="6" t="s">
        <v>111</v>
      </c>
      <c r="C30" s="6" t="s">
        <v>25</v>
      </c>
      <c r="D30" s="7">
        <v>630000</v>
      </c>
      <c r="E30" s="7">
        <v>767000</v>
      </c>
      <c r="F30" s="7">
        <v>630000</v>
      </c>
      <c r="G30" s="7">
        <v>677000</v>
      </c>
      <c r="H30" s="7">
        <v>0</v>
      </c>
      <c r="I30" s="7">
        <v>0</v>
      </c>
      <c r="J30" s="8">
        <f t="shared" si="0"/>
        <v>2704000</v>
      </c>
      <c r="K30" s="6" t="s">
        <v>26</v>
      </c>
      <c r="L30" s="7">
        <v>630000</v>
      </c>
      <c r="M30" s="7">
        <v>687000</v>
      </c>
      <c r="N30" s="7">
        <v>630000</v>
      </c>
      <c r="O30" s="7">
        <v>653000</v>
      </c>
      <c r="P30" s="7">
        <v>0</v>
      </c>
      <c r="Q30" s="7">
        <v>0</v>
      </c>
      <c r="R30" s="8">
        <f t="shared" si="1"/>
        <v>2600000</v>
      </c>
      <c r="S30" s="6" t="s">
        <v>26</v>
      </c>
      <c r="T30" s="7">
        <v>630000</v>
      </c>
      <c r="U30" s="7">
        <v>663000</v>
      </c>
      <c r="V30" s="7">
        <v>630000</v>
      </c>
      <c r="W30" s="7">
        <v>933000</v>
      </c>
      <c r="X30" s="7">
        <v>0</v>
      </c>
      <c r="Y30" s="7">
        <v>0</v>
      </c>
      <c r="Z30" s="8">
        <f t="shared" si="2"/>
        <v>2856000</v>
      </c>
      <c r="AA30" s="6" t="s">
        <v>26</v>
      </c>
      <c r="AB30" s="9" t="s">
        <v>28</v>
      </c>
      <c r="AC30" s="9" t="s">
        <v>28</v>
      </c>
      <c r="AD30" s="9" t="s">
        <v>28</v>
      </c>
      <c r="AE30" s="9" t="s">
        <v>28</v>
      </c>
      <c r="AF30" s="9" t="s">
        <v>28</v>
      </c>
      <c r="AG30" s="9" t="s">
        <v>28</v>
      </c>
      <c r="AH30" s="27" t="s">
        <v>28</v>
      </c>
      <c r="AI30" s="6" t="s">
        <v>27</v>
      </c>
      <c r="AJ30" s="28">
        <f t="shared" si="4"/>
        <v>8160000</v>
      </c>
      <c r="AK30" s="5" t="s">
        <v>112</v>
      </c>
      <c r="AL30" s="29" t="s">
        <v>113</v>
      </c>
    </row>
    <row r="31" spans="1:38" ht="15" customHeight="1" x14ac:dyDescent="0.2">
      <c r="A31" s="5" t="s">
        <v>114</v>
      </c>
      <c r="B31" s="6" t="s">
        <v>115</v>
      </c>
      <c r="C31" s="6" t="s">
        <v>25</v>
      </c>
      <c r="D31" s="7">
        <v>630000</v>
      </c>
      <c r="E31" s="7">
        <v>767000</v>
      </c>
      <c r="F31" s="7">
        <v>630000</v>
      </c>
      <c r="G31" s="7">
        <v>677000</v>
      </c>
      <c r="H31" s="7">
        <v>0</v>
      </c>
      <c r="I31" s="7">
        <v>0</v>
      </c>
      <c r="J31" s="8">
        <f t="shared" si="0"/>
        <v>2704000</v>
      </c>
      <c r="K31" s="6" t="s">
        <v>26</v>
      </c>
      <c r="L31" s="7">
        <v>630000</v>
      </c>
      <c r="M31" s="7">
        <v>687000</v>
      </c>
      <c r="N31" s="7">
        <v>630000</v>
      </c>
      <c r="O31" s="7">
        <v>653000</v>
      </c>
      <c r="P31" s="7">
        <v>0</v>
      </c>
      <c r="Q31" s="7">
        <v>0</v>
      </c>
      <c r="R31" s="8">
        <f t="shared" si="1"/>
        <v>2600000</v>
      </c>
      <c r="S31" s="6" t="s">
        <v>26</v>
      </c>
      <c r="T31" s="7">
        <v>630000</v>
      </c>
      <c r="U31" s="7">
        <v>663000</v>
      </c>
      <c r="V31" s="7">
        <v>630000</v>
      </c>
      <c r="W31" s="7">
        <v>933000</v>
      </c>
      <c r="X31" s="7">
        <v>0</v>
      </c>
      <c r="Y31" s="7">
        <v>0</v>
      </c>
      <c r="Z31" s="8">
        <f t="shared" si="2"/>
        <v>2856000</v>
      </c>
      <c r="AA31" s="6" t="s">
        <v>26</v>
      </c>
      <c r="AB31" s="9" t="s">
        <v>28</v>
      </c>
      <c r="AC31" s="9" t="s">
        <v>28</v>
      </c>
      <c r="AD31" s="9" t="s">
        <v>28</v>
      </c>
      <c r="AE31" s="9" t="s">
        <v>28</v>
      </c>
      <c r="AF31" s="9" t="s">
        <v>28</v>
      </c>
      <c r="AG31" s="9" t="s">
        <v>28</v>
      </c>
      <c r="AH31" s="27" t="s">
        <v>28</v>
      </c>
      <c r="AI31" s="6" t="s">
        <v>27</v>
      </c>
      <c r="AJ31" s="28">
        <f t="shared" si="4"/>
        <v>8160000</v>
      </c>
      <c r="AK31" s="5" t="s">
        <v>112</v>
      </c>
      <c r="AL31" s="29" t="s">
        <v>116</v>
      </c>
    </row>
    <row r="32" spans="1:38" ht="15" customHeight="1" x14ac:dyDescent="0.2">
      <c r="A32" s="5" t="s">
        <v>117</v>
      </c>
      <c r="B32" s="6" t="s">
        <v>118</v>
      </c>
      <c r="C32" s="6" t="s">
        <v>25</v>
      </c>
      <c r="D32" s="7">
        <v>630000</v>
      </c>
      <c r="E32" s="7">
        <v>767000</v>
      </c>
      <c r="F32" s="7">
        <v>630000</v>
      </c>
      <c r="G32" s="7">
        <v>677000</v>
      </c>
      <c r="H32" s="7">
        <v>0</v>
      </c>
      <c r="I32" s="7">
        <v>0</v>
      </c>
      <c r="J32" s="8">
        <f t="shared" si="0"/>
        <v>2704000</v>
      </c>
      <c r="K32" s="6" t="s">
        <v>26</v>
      </c>
      <c r="L32" s="7">
        <v>630000</v>
      </c>
      <c r="M32" s="7">
        <v>687000</v>
      </c>
      <c r="N32" s="7">
        <v>630000</v>
      </c>
      <c r="O32" s="7">
        <v>653000</v>
      </c>
      <c r="P32" s="7">
        <v>0</v>
      </c>
      <c r="Q32" s="7">
        <v>0</v>
      </c>
      <c r="R32" s="8">
        <f t="shared" si="1"/>
        <v>2600000</v>
      </c>
      <c r="S32" s="6" t="s">
        <v>26</v>
      </c>
      <c r="T32" s="7">
        <v>630000</v>
      </c>
      <c r="U32" s="7">
        <v>663000</v>
      </c>
      <c r="V32" s="7">
        <v>630000</v>
      </c>
      <c r="W32" s="7">
        <v>933000</v>
      </c>
      <c r="X32" s="7">
        <v>0</v>
      </c>
      <c r="Y32" s="7">
        <v>0</v>
      </c>
      <c r="Z32" s="8">
        <f t="shared" si="2"/>
        <v>2856000</v>
      </c>
      <c r="AA32" s="6" t="s">
        <v>26</v>
      </c>
      <c r="AB32" s="9" t="s">
        <v>28</v>
      </c>
      <c r="AC32" s="9" t="s">
        <v>28</v>
      </c>
      <c r="AD32" s="9" t="s">
        <v>28</v>
      </c>
      <c r="AE32" s="9" t="s">
        <v>28</v>
      </c>
      <c r="AF32" s="9" t="s">
        <v>28</v>
      </c>
      <c r="AG32" s="9" t="s">
        <v>28</v>
      </c>
      <c r="AH32" s="10" t="s">
        <v>28</v>
      </c>
      <c r="AI32" s="6" t="s">
        <v>27</v>
      </c>
      <c r="AJ32" s="13">
        <f t="shared" si="4"/>
        <v>8160000</v>
      </c>
      <c r="AK32" s="5" t="s">
        <v>105</v>
      </c>
      <c r="AL32" s="14" t="s">
        <v>119</v>
      </c>
    </row>
    <row r="33" spans="1:38" ht="15" customHeight="1" x14ac:dyDescent="0.2">
      <c r="A33" s="5" t="s">
        <v>120</v>
      </c>
      <c r="B33" s="6" t="s">
        <v>121</v>
      </c>
      <c r="C33" s="6" t="s">
        <v>25</v>
      </c>
      <c r="D33" s="7">
        <v>630000</v>
      </c>
      <c r="E33" s="7">
        <v>767000</v>
      </c>
      <c r="F33" s="7">
        <v>630000</v>
      </c>
      <c r="G33" s="7">
        <v>677000</v>
      </c>
      <c r="H33" s="7">
        <v>0</v>
      </c>
      <c r="I33" s="7">
        <v>0</v>
      </c>
      <c r="J33" s="8">
        <f t="shared" si="0"/>
        <v>2704000</v>
      </c>
      <c r="K33" s="6" t="s">
        <v>26</v>
      </c>
      <c r="L33" s="7">
        <v>630000</v>
      </c>
      <c r="M33" s="7">
        <v>687000</v>
      </c>
      <c r="N33" s="7">
        <v>630000</v>
      </c>
      <c r="O33" s="7">
        <v>653000</v>
      </c>
      <c r="P33" s="7">
        <v>0</v>
      </c>
      <c r="Q33" s="7">
        <v>0</v>
      </c>
      <c r="R33" s="8">
        <f t="shared" si="1"/>
        <v>2600000</v>
      </c>
      <c r="S33" s="6" t="s">
        <v>26</v>
      </c>
      <c r="T33" s="7">
        <v>630000</v>
      </c>
      <c r="U33" s="7">
        <v>663000</v>
      </c>
      <c r="V33" s="7">
        <v>630000</v>
      </c>
      <c r="W33" s="7">
        <v>933000</v>
      </c>
      <c r="X33" s="7">
        <v>0</v>
      </c>
      <c r="Y33" s="7">
        <v>0</v>
      </c>
      <c r="Z33" s="8">
        <f t="shared" si="2"/>
        <v>2856000</v>
      </c>
      <c r="AA33" s="6" t="s">
        <v>26</v>
      </c>
      <c r="AB33" s="9" t="s">
        <v>28</v>
      </c>
      <c r="AC33" s="9" t="s">
        <v>28</v>
      </c>
      <c r="AD33" s="9" t="s">
        <v>28</v>
      </c>
      <c r="AE33" s="9" t="s">
        <v>28</v>
      </c>
      <c r="AF33" s="9" t="s">
        <v>28</v>
      </c>
      <c r="AG33" s="9" t="s">
        <v>28</v>
      </c>
      <c r="AH33" s="10" t="s">
        <v>28</v>
      </c>
      <c r="AI33" s="6" t="s">
        <v>27</v>
      </c>
      <c r="AJ33" s="13">
        <f t="shared" si="4"/>
        <v>8160000</v>
      </c>
      <c r="AK33" s="5" t="s">
        <v>105</v>
      </c>
      <c r="AL33" s="14" t="s">
        <v>122</v>
      </c>
    </row>
    <row r="34" spans="1:38" ht="15" customHeight="1" x14ac:dyDescent="0.2">
      <c r="A34" s="5" t="s">
        <v>123</v>
      </c>
      <c r="B34" s="6" t="s">
        <v>124</v>
      </c>
      <c r="C34" s="6" t="s">
        <v>25</v>
      </c>
      <c r="D34" s="7">
        <v>630000</v>
      </c>
      <c r="E34" s="7">
        <v>767000</v>
      </c>
      <c r="F34" s="7">
        <v>630000</v>
      </c>
      <c r="G34" s="7">
        <v>677000</v>
      </c>
      <c r="H34" s="7">
        <v>0</v>
      </c>
      <c r="I34" s="7">
        <v>0</v>
      </c>
      <c r="J34" s="8">
        <f t="shared" si="0"/>
        <v>2704000</v>
      </c>
      <c r="K34" s="6" t="s">
        <v>26</v>
      </c>
      <c r="L34" s="7">
        <v>630000</v>
      </c>
      <c r="M34" s="7">
        <v>687000</v>
      </c>
      <c r="N34" s="7">
        <v>630000</v>
      </c>
      <c r="O34" s="7">
        <v>653000</v>
      </c>
      <c r="P34" s="7">
        <v>0</v>
      </c>
      <c r="Q34" s="7">
        <v>0</v>
      </c>
      <c r="R34" s="8">
        <f t="shared" si="1"/>
        <v>2600000</v>
      </c>
      <c r="S34" s="6" t="s">
        <v>26</v>
      </c>
      <c r="T34" s="7">
        <v>630000</v>
      </c>
      <c r="U34" s="7">
        <v>663000</v>
      </c>
      <c r="V34" s="7">
        <v>630000</v>
      </c>
      <c r="W34" s="7">
        <v>933000</v>
      </c>
      <c r="X34" s="7">
        <v>0</v>
      </c>
      <c r="Y34" s="7">
        <v>0</v>
      </c>
      <c r="Z34" s="8">
        <f t="shared" si="2"/>
        <v>2856000</v>
      </c>
      <c r="AA34" s="6" t="s">
        <v>26</v>
      </c>
      <c r="AB34" s="9" t="s">
        <v>28</v>
      </c>
      <c r="AC34" s="9" t="s">
        <v>28</v>
      </c>
      <c r="AD34" s="9" t="s">
        <v>28</v>
      </c>
      <c r="AE34" s="9" t="s">
        <v>28</v>
      </c>
      <c r="AF34" s="9" t="s">
        <v>28</v>
      </c>
      <c r="AG34" s="9" t="s">
        <v>28</v>
      </c>
      <c r="AH34" s="27" t="s">
        <v>28</v>
      </c>
      <c r="AI34" s="6" t="s">
        <v>27</v>
      </c>
      <c r="AJ34" s="28">
        <f t="shared" si="4"/>
        <v>8160000</v>
      </c>
      <c r="AK34" s="5" t="s">
        <v>112</v>
      </c>
      <c r="AL34" s="29" t="s">
        <v>125</v>
      </c>
    </row>
    <row r="35" spans="1:38" ht="15" customHeight="1" x14ac:dyDescent="0.2">
      <c r="A35" s="5" t="s">
        <v>126</v>
      </c>
      <c r="B35" s="6" t="s">
        <v>127</v>
      </c>
      <c r="C35" s="6" t="s">
        <v>25</v>
      </c>
      <c r="D35" s="7">
        <v>630000</v>
      </c>
      <c r="E35" s="7">
        <v>767000</v>
      </c>
      <c r="F35" s="7">
        <v>630000</v>
      </c>
      <c r="G35" s="7">
        <v>677000</v>
      </c>
      <c r="H35" s="7">
        <v>0</v>
      </c>
      <c r="I35" s="7">
        <v>0</v>
      </c>
      <c r="J35" s="8">
        <f t="shared" si="0"/>
        <v>2704000</v>
      </c>
      <c r="K35" s="6" t="s">
        <v>26</v>
      </c>
      <c r="L35" s="7">
        <v>630000</v>
      </c>
      <c r="M35" s="7">
        <v>687000</v>
      </c>
      <c r="N35" s="7">
        <v>630000</v>
      </c>
      <c r="O35" s="7">
        <v>653000</v>
      </c>
      <c r="P35" s="7">
        <v>0</v>
      </c>
      <c r="Q35" s="7">
        <v>0</v>
      </c>
      <c r="R35" s="8">
        <f t="shared" si="1"/>
        <v>2600000</v>
      </c>
      <c r="S35" s="6" t="s">
        <v>26</v>
      </c>
      <c r="T35" s="7">
        <v>630000</v>
      </c>
      <c r="U35" s="7">
        <v>663000</v>
      </c>
      <c r="V35" s="7">
        <v>630000</v>
      </c>
      <c r="W35" s="7">
        <v>933000</v>
      </c>
      <c r="X35" s="7">
        <v>0</v>
      </c>
      <c r="Y35" s="7">
        <v>0</v>
      </c>
      <c r="Z35" s="8">
        <f t="shared" si="2"/>
        <v>2856000</v>
      </c>
      <c r="AA35" s="6" t="s">
        <v>26</v>
      </c>
      <c r="AB35" s="9" t="s">
        <v>28</v>
      </c>
      <c r="AC35" s="9" t="s">
        <v>28</v>
      </c>
      <c r="AD35" s="9" t="s">
        <v>28</v>
      </c>
      <c r="AE35" s="9" t="s">
        <v>28</v>
      </c>
      <c r="AF35" s="9" t="s">
        <v>28</v>
      </c>
      <c r="AG35" s="9" t="s">
        <v>28</v>
      </c>
      <c r="AH35" s="10" t="s">
        <v>28</v>
      </c>
      <c r="AI35" s="6" t="s">
        <v>27</v>
      </c>
      <c r="AJ35" s="13">
        <f t="shared" si="4"/>
        <v>8160000</v>
      </c>
      <c r="AK35" s="5" t="s">
        <v>105</v>
      </c>
      <c r="AL35" s="14" t="s">
        <v>128</v>
      </c>
    </row>
    <row r="36" spans="1:38" ht="15" customHeight="1" x14ac:dyDescent="0.2">
      <c r="A36" s="5" t="s">
        <v>129</v>
      </c>
      <c r="B36" s="6" t="s">
        <v>130</v>
      </c>
      <c r="C36" s="6" t="s">
        <v>25</v>
      </c>
      <c r="D36" s="7">
        <v>630000</v>
      </c>
      <c r="E36" s="7">
        <v>767000</v>
      </c>
      <c r="F36" s="7">
        <v>630000</v>
      </c>
      <c r="G36" s="7">
        <v>677000</v>
      </c>
      <c r="H36" s="7">
        <v>0</v>
      </c>
      <c r="I36" s="7">
        <v>0</v>
      </c>
      <c r="J36" s="8">
        <f t="shared" si="0"/>
        <v>2704000</v>
      </c>
      <c r="K36" s="6" t="s">
        <v>26</v>
      </c>
      <c r="L36" s="7">
        <v>630000</v>
      </c>
      <c r="M36" s="7">
        <v>687000</v>
      </c>
      <c r="N36" s="7">
        <v>630000</v>
      </c>
      <c r="O36" s="7">
        <v>653000</v>
      </c>
      <c r="P36" s="7">
        <v>0</v>
      </c>
      <c r="Q36" s="7">
        <v>0</v>
      </c>
      <c r="R36" s="8">
        <f t="shared" si="1"/>
        <v>2600000</v>
      </c>
      <c r="S36" s="6" t="s">
        <v>26</v>
      </c>
      <c r="T36" s="7">
        <v>630000</v>
      </c>
      <c r="U36" s="7">
        <v>663000</v>
      </c>
      <c r="V36" s="7">
        <v>630000</v>
      </c>
      <c r="W36" s="7">
        <v>933000</v>
      </c>
      <c r="X36" s="7">
        <v>0</v>
      </c>
      <c r="Y36" s="7">
        <v>0</v>
      </c>
      <c r="Z36" s="8">
        <f t="shared" si="2"/>
        <v>2856000</v>
      </c>
      <c r="AA36" s="6" t="s">
        <v>26</v>
      </c>
      <c r="AB36" s="9" t="s">
        <v>28</v>
      </c>
      <c r="AC36" s="9" t="s">
        <v>28</v>
      </c>
      <c r="AD36" s="9" t="s">
        <v>28</v>
      </c>
      <c r="AE36" s="9" t="s">
        <v>28</v>
      </c>
      <c r="AF36" s="9" t="s">
        <v>28</v>
      </c>
      <c r="AG36" s="9" t="s">
        <v>28</v>
      </c>
      <c r="AH36" s="10" t="s">
        <v>28</v>
      </c>
      <c r="AI36" s="6" t="s">
        <v>27</v>
      </c>
      <c r="AJ36" s="13">
        <f t="shared" si="4"/>
        <v>8160000</v>
      </c>
      <c r="AK36" s="5" t="s">
        <v>105</v>
      </c>
      <c r="AL36" s="14" t="s">
        <v>131</v>
      </c>
    </row>
    <row r="37" spans="1:38" ht="20.25" customHeight="1" x14ac:dyDescent="0.2">
      <c r="A37" s="5" t="s">
        <v>132</v>
      </c>
      <c r="B37" s="6" t="s">
        <v>133</v>
      </c>
      <c r="C37" s="6" t="s">
        <v>25</v>
      </c>
      <c r="D37" s="7">
        <v>630000</v>
      </c>
      <c r="E37" s="7">
        <v>767000</v>
      </c>
      <c r="F37" s="7">
        <v>630000</v>
      </c>
      <c r="G37" s="7">
        <v>677000</v>
      </c>
      <c r="H37" s="7">
        <v>0</v>
      </c>
      <c r="I37" s="7">
        <v>0</v>
      </c>
      <c r="J37" s="8">
        <f t="shared" si="0"/>
        <v>2704000</v>
      </c>
      <c r="K37" s="6" t="s">
        <v>26</v>
      </c>
      <c r="L37" s="7">
        <v>630000</v>
      </c>
      <c r="M37" s="7">
        <v>687000</v>
      </c>
      <c r="N37" s="7">
        <v>630000</v>
      </c>
      <c r="O37" s="7">
        <v>653000</v>
      </c>
      <c r="P37" s="7">
        <v>0</v>
      </c>
      <c r="Q37" s="7">
        <v>0</v>
      </c>
      <c r="R37" s="8">
        <f t="shared" si="1"/>
        <v>2600000</v>
      </c>
      <c r="S37" s="6" t="s">
        <v>26</v>
      </c>
      <c r="T37" s="7">
        <v>630000</v>
      </c>
      <c r="U37" s="7">
        <v>663000</v>
      </c>
      <c r="V37" s="7">
        <v>630000</v>
      </c>
      <c r="W37" s="7">
        <v>933000</v>
      </c>
      <c r="X37" s="7">
        <v>0</v>
      </c>
      <c r="Y37" s="7">
        <v>0</v>
      </c>
      <c r="Z37" s="8">
        <f t="shared" si="2"/>
        <v>2856000</v>
      </c>
      <c r="AA37" s="6" t="s">
        <v>26</v>
      </c>
      <c r="AB37" s="9" t="s">
        <v>28</v>
      </c>
      <c r="AC37" s="9" t="s">
        <v>28</v>
      </c>
      <c r="AD37" s="9" t="s">
        <v>28</v>
      </c>
      <c r="AE37" s="9" t="s">
        <v>28</v>
      </c>
      <c r="AF37" s="9" t="s">
        <v>28</v>
      </c>
      <c r="AG37" s="9" t="s">
        <v>28</v>
      </c>
      <c r="AH37" s="10" t="s">
        <v>28</v>
      </c>
      <c r="AI37" s="6" t="s">
        <v>27</v>
      </c>
      <c r="AJ37" s="13">
        <f t="shared" si="4"/>
        <v>8160000</v>
      </c>
      <c r="AK37" s="25" t="s">
        <v>134</v>
      </c>
      <c r="AL37" s="14" t="s">
        <v>135</v>
      </c>
    </row>
    <row r="38" spans="1:38" ht="15" customHeight="1" x14ac:dyDescent="0.2">
      <c r="A38" s="5" t="s">
        <v>136</v>
      </c>
      <c r="B38" s="6" t="s">
        <v>91</v>
      </c>
      <c r="C38" s="6" t="s">
        <v>25</v>
      </c>
      <c r="D38" s="7">
        <v>630000</v>
      </c>
      <c r="E38" s="7">
        <v>767000</v>
      </c>
      <c r="F38" s="7">
        <v>630000</v>
      </c>
      <c r="G38" s="7">
        <v>677000</v>
      </c>
      <c r="H38" s="7">
        <v>0</v>
      </c>
      <c r="I38" s="7">
        <v>0</v>
      </c>
      <c r="J38" s="8">
        <f t="shared" si="0"/>
        <v>2704000</v>
      </c>
      <c r="K38" s="6" t="s">
        <v>26</v>
      </c>
      <c r="L38" s="7">
        <v>630000</v>
      </c>
      <c r="M38" s="7">
        <v>687000</v>
      </c>
      <c r="N38" s="7">
        <v>630000</v>
      </c>
      <c r="O38" s="7">
        <v>653000</v>
      </c>
      <c r="P38" s="7">
        <v>0</v>
      </c>
      <c r="Q38" s="7">
        <v>0</v>
      </c>
      <c r="R38" s="8">
        <f t="shared" si="1"/>
        <v>2600000</v>
      </c>
      <c r="S38" s="6" t="s">
        <v>26</v>
      </c>
      <c r="T38" s="7">
        <v>630000</v>
      </c>
      <c r="U38" s="7">
        <v>663000</v>
      </c>
      <c r="V38" s="7">
        <v>630000</v>
      </c>
      <c r="W38" s="7">
        <v>933000</v>
      </c>
      <c r="X38" s="7">
        <v>0</v>
      </c>
      <c r="Y38" s="7">
        <v>0</v>
      </c>
      <c r="Z38" s="8">
        <f t="shared" si="2"/>
        <v>2856000</v>
      </c>
      <c r="AA38" s="6" t="s">
        <v>26</v>
      </c>
      <c r="AB38" s="9" t="s">
        <v>28</v>
      </c>
      <c r="AC38" s="9" t="s">
        <v>28</v>
      </c>
      <c r="AD38" s="9" t="s">
        <v>28</v>
      </c>
      <c r="AE38" s="9" t="s">
        <v>28</v>
      </c>
      <c r="AF38" s="9" t="s">
        <v>28</v>
      </c>
      <c r="AG38" s="9" t="s">
        <v>28</v>
      </c>
      <c r="AH38" s="27" t="s">
        <v>28</v>
      </c>
      <c r="AI38" s="6" t="s">
        <v>27</v>
      </c>
      <c r="AJ38" s="28">
        <f t="shared" si="4"/>
        <v>8160000</v>
      </c>
      <c r="AK38" s="5" t="s">
        <v>112</v>
      </c>
      <c r="AL38" s="29" t="s">
        <v>137</v>
      </c>
    </row>
    <row r="39" spans="1:38" ht="15" customHeight="1" x14ac:dyDescent="0.2">
      <c r="A39" s="5" t="s">
        <v>138</v>
      </c>
      <c r="B39" s="6" t="s">
        <v>139</v>
      </c>
      <c r="C39" s="6" t="s">
        <v>25</v>
      </c>
      <c r="D39" s="7">
        <v>630000</v>
      </c>
      <c r="E39" s="7">
        <v>767000</v>
      </c>
      <c r="F39" s="7">
        <v>630000</v>
      </c>
      <c r="G39" s="7">
        <v>677000</v>
      </c>
      <c r="H39" s="7">
        <v>0</v>
      </c>
      <c r="I39" s="7">
        <v>0</v>
      </c>
      <c r="J39" s="8">
        <f t="shared" si="0"/>
        <v>2704000</v>
      </c>
      <c r="K39" s="6" t="s">
        <v>26</v>
      </c>
      <c r="L39" s="7">
        <v>630000</v>
      </c>
      <c r="M39" s="7">
        <v>687000</v>
      </c>
      <c r="N39" s="7">
        <v>630000</v>
      </c>
      <c r="O39" s="7">
        <v>653000</v>
      </c>
      <c r="P39" s="7">
        <v>0</v>
      </c>
      <c r="Q39" s="7">
        <v>0</v>
      </c>
      <c r="R39" s="8">
        <f t="shared" si="1"/>
        <v>2600000</v>
      </c>
      <c r="S39" s="6" t="s">
        <v>26</v>
      </c>
      <c r="T39" s="7">
        <v>630000</v>
      </c>
      <c r="U39" s="7">
        <v>663000</v>
      </c>
      <c r="V39" s="7">
        <v>630000</v>
      </c>
      <c r="W39" s="7">
        <v>933000</v>
      </c>
      <c r="X39" s="7">
        <v>0</v>
      </c>
      <c r="Y39" s="7">
        <v>0</v>
      </c>
      <c r="Z39" s="8">
        <f t="shared" si="2"/>
        <v>2856000</v>
      </c>
      <c r="AA39" s="6" t="s">
        <v>26</v>
      </c>
      <c r="AB39" s="9" t="s">
        <v>28</v>
      </c>
      <c r="AC39" s="9" t="s">
        <v>28</v>
      </c>
      <c r="AD39" s="9" t="s">
        <v>28</v>
      </c>
      <c r="AE39" s="9" t="s">
        <v>28</v>
      </c>
      <c r="AF39" s="9" t="s">
        <v>28</v>
      </c>
      <c r="AG39" s="9" t="s">
        <v>28</v>
      </c>
      <c r="AH39" s="27" t="s">
        <v>28</v>
      </c>
      <c r="AI39" s="6" t="s">
        <v>27</v>
      </c>
      <c r="AJ39" s="28">
        <f t="shared" si="4"/>
        <v>8160000</v>
      </c>
      <c r="AK39" s="5" t="s">
        <v>140</v>
      </c>
      <c r="AL39" s="29" t="s">
        <v>141</v>
      </c>
    </row>
    <row r="40" spans="1:38" ht="15" customHeight="1" x14ac:dyDescent="0.2">
      <c r="A40" s="5" t="s">
        <v>142</v>
      </c>
      <c r="B40" s="6" t="s">
        <v>143</v>
      </c>
      <c r="C40" s="6" t="s">
        <v>25</v>
      </c>
      <c r="D40" s="7">
        <v>630000</v>
      </c>
      <c r="E40" s="7">
        <v>767000</v>
      </c>
      <c r="F40" s="7">
        <v>630000</v>
      </c>
      <c r="G40" s="7">
        <v>677000</v>
      </c>
      <c r="H40" s="7">
        <v>0</v>
      </c>
      <c r="I40" s="7">
        <v>0</v>
      </c>
      <c r="J40" s="8">
        <f t="shared" si="0"/>
        <v>2704000</v>
      </c>
      <c r="K40" s="6" t="s">
        <v>26</v>
      </c>
      <c r="L40" s="7">
        <v>630000</v>
      </c>
      <c r="M40" s="7">
        <v>687000</v>
      </c>
      <c r="N40" s="7">
        <v>630000</v>
      </c>
      <c r="O40" s="7">
        <v>653000</v>
      </c>
      <c r="P40" s="7">
        <v>0</v>
      </c>
      <c r="Q40" s="7">
        <v>0</v>
      </c>
      <c r="R40" s="8">
        <f t="shared" si="1"/>
        <v>2600000</v>
      </c>
      <c r="S40" s="6" t="s">
        <v>26</v>
      </c>
      <c r="T40" s="7">
        <v>630000</v>
      </c>
      <c r="U40" s="7">
        <v>663000</v>
      </c>
      <c r="V40" s="7">
        <v>630000</v>
      </c>
      <c r="W40" s="7">
        <v>933000</v>
      </c>
      <c r="X40" s="7">
        <v>0</v>
      </c>
      <c r="Y40" s="7">
        <v>0</v>
      </c>
      <c r="Z40" s="8">
        <f t="shared" si="2"/>
        <v>2856000</v>
      </c>
      <c r="AA40" s="6" t="s">
        <v>26</v>
      </c>
      <c r="AB40" s="9" t="s">
        <v>28</v>
      </c>
      <c r="AC40" s="9" t="s">
        <v>28</v>
      </c>
      <c r="AD40" s="9" t="s">
        <v>28</v>
      </c>
      <c r="AE40" s="9" t="s">
        <v>28</v>
      </c>
      <c r="AF40" s="9" t="s">
        <v>28</v>
      </c>
      <c r="AG40" s="9" t="s">
        <v>28</v>
      </c>
      <c r="AH40" s="10" t="s">
        <v>28</v>
      </c>
      <c r="AI40" s="6" t="s">
        <v>27</v>
      </c>
      <c r="AJ40" s="13">
        <f t="shared" si="4"/>
        <v>8160000</v>
      </c>
      <c r="AK40" s="5" t="s">
        <v>105</v>
      </c>
      <c r="AL40" s="14" t="s">
        <v>144</v>
      </c>
    </row>
    <row r="41" spans="1:38" ht="15" customHeight="1" x14ac:dyDescent="0.2">
      <c r="A41" s="5" t="s">
        <v>145</v>
      </c>
      <c r="B41" s="6" t="s">
        <v>146</v>
      </c>
      <c r="C41" s="6" t="s">
        <v>25</v>
      </c>
      <c r="D41" s="7">
        <v>780000</v>
      </c>
      <c r="E41" s="7">
        <v>887000</v>
      </c>
      <c r="F41" s="7">
        <v>780000</v>
      </c>
      <c r="G41" s="7">
        <v>797000</v>
      </c>
      <c r="H41" s="7">
        <v>0</v>
      </c>
      <c r="I41" s="7">
        <v>0</v>
      </c>
      <c r="J41" s="8">
        <f t="shared" si="0"/>
        <v>3244000</v>
      </c>
      <c r="K41" s="6" t="s">
        <v>26</v>
      </c>
      <c r="L41" s="7">
        <v>780000</v>
      </c>
      <c r="M41" s="7">
        <v>807000</v>
      </c>
      <c r="N41" s="7">
        <v>780000</v>
      </c>
      <c r="O41" s="7">
        <v>973000</v>
      </c>
      <c r="P41" s="7">
        <v>0</v>
      </c>
      <c r="Q41" s="7">
        <v>0</v>
      </c>
      <c r="R41" s="8">
        <f t="shared" si="1"/>
        <v>3340000</v>
      </c>
      <c r="S41" s="6" t="s">
        <v>26</v>
      </c>
      <c r="T41" s="7">
        <v>780000</v>
      </c>
      <c r="U41" s="7">
        <v>783000</v>
      </c>
      <c r="V41" s="7">
        <v>780000</v>
      </c>
      <c r="W41" s="7">
        <v>1053000</v>
      </c>
      <c r="X41" s="7">
        <v>0</v>
      </c>
      <c r="Y41" s="7">
        <v>0</v>
      </c>
      <c r="Z41" s="8">
        <f t="shared" si="2"/>
        <v>3396000</v>
      </c>
      <c r="AA41" s="6" t="s">
        <v>26</v>
      </c>
      <c r="AB41" s="9" t="s">
        <v>28</v>
      </c>
      <c r="AC41" s="9" t="s">
        <v>28</v>
      </c>
      <c r="AD41" s="9" t="s">
        <v>28</v>
      </c>
      <c r="AE41" s="9" t="s">
        <v>28</v>
      </c>
      <c r="AF41" s="9" t="s">
        <v>28</v>
      </c>
      <c r="AG41" s="9" t="s">
        <v>28</v>
      </c>
      <c r="AH41" s="27" t="s">
        <v>28</v>
      </c>
      <c r="AI41" s="6" t="s">
        <v>27</v>
      </c>
      <c r="AJ41" s="28">
        <f t="shared" si="4"/>
        <v>9980000</v>
      </c>
      <c r="AK41" s="5" t="s">
        <v>147</v>
      </c>
      <c r="AL41" s="29" t="s">
        <v>148</v>
      </c>
    </row>
    <row r="42" spans="1:38" ht="15" customHeight="1" x14ac:dyDescent="0.2">
      <c r="A42" s="5" t="s">
        <v>149</v>
      </c>
      <c r="B42" s="6" t="s">
        <v>150</v>
      </c>
      <c r="C42" s="6" t="s">
        <v>25</v>
      </c>
      <c r="D42" s="7">
        <v>630000</v>
      </c>
      <c r="E42" s="7">
        <v>767000</v>
      </c>
      <c r="F42" s="7">
        <v>630000</v>
      </c>
      <c r="G42" s="7">
        <v>677000</v>
      </c>
      <c r="H42" s="7">
        <v>0</v>
      </c>
      <c r="I42" s="7">
        <v>0</v>
      </c>
      <c r="J42" s="8">
        <f t="shared" si="0"/>
        <v>2704000</v>
      </c>
      <c r="K42" s="6" t="s">
        <v>26</v>
      </c>
      <c r="L42" s="7">
        <v>630000</v>
      </c>
      <c r="M42" s="7">
        <v>687000</v>
      </c>
      <c r="N42" s="7">
        <v>630000</v>
      </c>
      <c r="O42" s="7">
        <v>653000</v>
      </c>
      <c r="P42" s="7">
        <v>0</v>
      </c>
      <c r="Q42" s="7">
        <v>0</v>
      </c>
      <c r="R42" s="8">
        <f t="shared" si="1"/>
        <v>2600000</v>
      </c>
      <c r="S42" s="6" t="s">
        <v>26</v>
      </c>
      <c r="T42" s="7">
        <v>630000</v>
      </c>
      <c r="U42" s="7">
        <v>663000</v>
      </c>
      <c r="V42" s="7">
        <v>630000</v>
      </c>
      <c r="W42" s="7">
        <v>933000</v>
      </c>
      <c r="X42" s="7">
        <v>0</v>
      </c>
      <c r="Y42" s="7">
        <v>0</v>
      </c>
      <c r="Z42" s="8">
        <f t="shared" si="2"/>
        <v>2856000</v>
      </c>
      <c r="AA42" s="6" t="s">
        <v>26</v>
      </c>
      <c r="AB42" s="9" t="s">
        <v>28</v>
      </c>
      <c r="AC42" s="9" t="s">
        <v>28</v>
      </c>
      <c r="AD42" s="9" t="s">
        <v>28</v>
      </c>
      <c r="AE42" s="9" t="s">
        <v>28</v>
      </c>
      <c r="AF42" s="9" t="s">
        <v>28</v>
      </c>
      <c r="AG42" s="9" t="s">
        <v>28</v>
      </c>
      <c r="AH42" s="27" t="s">
        <v>28</v>
      </c>
      <c r="AI42" s="6" t="s">
        <v>27</v>
      </c>
      <c r="AJ42" s="28">
        <f t="shared" si="4"/>
        <v>8160000</v>
      </c>
      <c r="AK42" s="5" t="s">
        <v>112</v>
      </c>
      <c r="AL42" s="29" t="s">
        <v>151</v>
      </c>
    </row>
    <row r="43" spans="1:38" ht="15" customHeight="1" x14ac:dyDescent="0.2">
      <c r="A43" s="5" t="s">
        <v>152</v>
      </c>
      <c r="B43" s="6" t="s">
        <v>153</v>
      </c>
      <c r="C43" s="6" t="s">
        <v>25</v>
      </c>
      <c r="D43" s="7">
        <v>630000</v>
      </c>
      <c r="E43" s="7">
        <v>767000</v>
      </c>
      <c r="F43" s="7">
        <v>630000</v>
      </c>
      <c r="G43" s="7">
        <v>677000</v>
      </c>
      <c r="H43" s="7">
        <v>0</v>
      </c>
      <c r="I43" s="7">
        <v>0</v>
      </c>
      <c r="J43" s="8">
        <f t="shared" si="0"/>
        <v>2704000</v>
      </c>
      <c r="K43" s="6" t="s">
        <v>26</v>
      </c>
      <c r="L43" s="7">
        <v>630000</v>
      </c>
      <c r="M43" s="7">
        <v>687000</v>
      </c>
      <c r="N43" s="7">
        <v>630000</v>
      </c>
      <c r="O43" s="7">
        <v>653000</v>
      </c>
      <c r="P43" s="7">
        <v>0</v>
      </c>
      <c r="Q43" s="7">
        <v>0</v>
      </c>
      <c r="R43" s="8">
        <f t="shared" si="1"/>
        <v>2600000</v>
      </c>
      <c r="S43" s="6" t="s">
        <v>26</v>
      </c>
      <c r="T43" s="7">
        <v>630000</v>
      </c>
      <c r="U43" s="7">
        <v>663000</v>
      </c>
      <c r="V43" s="7">
        <v>630000</v>
      </c>
      <c r="W43" s="7">
        <v>933000</v>
      </c>
      <c r="X43" s="7">
        <v>0</v>
      </c>
      <c r="Y43" s="7">
        <v>0</v>
      </c>
      <c r="Z43" s="8">
        <f t="shared" si="2"/>
        <v>2856000</v>
      </c>
      <c r="AA43" s="6" t="s">
        <v>26</v>
      </c>
      <c r="AB43" s="9" t="s">
        <v>28</v>
      </c>
      <c r="AC43" s="9" t="s">
        <v>28</v>
      </c>
      <c r="AD43" s="9" t="s">
        <v>28</v>
      </c>
      <c r="AE43" s="9" t="s">
        <v>28</v>
      </c>
      <c r="AF43" s="9" t="s">
        <v>28</v>
      </c>
      <c r="AG43" s="9" t="s">
        <v>28</v>
      </c>
      <c r="AH43" s="10" t="s">
        <v>28</v>
      </c>
      <c r="AI43" s="6" t="s">
        <v>27</v>
      </c>
      <c r="AJ43" s="13">
        <f t="shared" si="4"/>
        <v>8160000</v>
      </c>
      <c r="AK43" s="5" t="s">
        <v>105</v>
      </c>
      <c r="AL43" s="14" t="s">
        <v>154</v>
      </c>
    </row>
    <row r="44" spans="1:38" ht="15" customHeight="1" x14ac:dyDescent="0.2">
      <c r="A44" s="5" t="s">
        <v>155</v>
      </c>
      <c r="B44" s="6" t="s">
        <v>156</v>
      </c>
      <c r="C44" s="6" t="s">
        <v>25</v>
      </c>
      <c r="D44" s="7">
        <v>630000</v>
      </c>
      <c r="E44" s="7">
        <v>767000</v>
      </c>
      <c r="F44" s="7">
        <v>630000</v>
      </c>
      <c r="G44" s="7">
        <v>677000</v>
      </c>
      <c r="H44" s="7">
        <v>0</v>
      </c>
      <c r="I44" s="7">
        <v>0</v>
      </c>
      <c r="J44" s="8">
        <f t="shared" si="0"/>
        <v>2704000</v>
      </c>
      <c r="K44" s="6" t="s">
        <v>26</v>
      </c>
      <c r="L44" s="7">
        <v>630000</v>
      </c>
      <c r="M44" s="7">
        <v>687000</v>
      </c>
      <c r="N44" s="7">
        <v>630000</v>
      </c>
      <c r="O44" s="7">
        <v>653000</v>
      </c>
      <c r="P44" s="7">
        <v>0</v>
      </c>
      <c r="Q44" s="7">
        <v>0</v>
      </c>
      <c r="R44" s="8">
        <f t="shared" si="1"/>
        <v>2600000</v>
      </c>
      <c r="S44" s="6" t="s">
        <v>26</v>
      </c>
      <c r="T44" s="7">
        <v>630000</v>
      </c>
      <c r="U44" s="7">
        <v>663000</v>
      </c>
      <c r="V44" s="7">
        <v>630000</v>
      </c>
      <c r="W44" s="7">
        <v>933000</v>
      </c>
      <c r="X44" s="7">
        <v>0</v>
      </c>
      <c r="Y44" s="7">
        <v>0</v>
      </c>
      <c r="Z44" s="8">
        <f t="shared" si="2"/>
        <v>2856000</v>
      </c>
      <c r="AA44" s="6" t="s">
        <v>26</v>
      </c>
      <c r="AB44" s="9" t="s">
        <v>28</v>
      </c>
      <c r="AC44" s="9" t="s">
        <v>28</v>
      </c>
      <c r="AD44" s="9" t="s">
        <v>28</v>
      </c>
      <c r="AE44" s="9" t="s">
        <v>28</v>
      </c>
      <c r="AF44" s="9" t="s">
        <v>28</v>
      </c>
      <c r="AG44" s="9" t="s">
        <v>28</v>
      </c>
      <c r="AH44" s="27" t="s">
        <v>28</v>
      </c>
      <c r="AI44" s="6" t="s">
        <v>27</v>
      </c>
      <c r="AJ44" s="28">
        <f t="shared" si="4"/>
        <v>8160000</v>
      </c>
      <c r="AK44" s="5" t="s">
        <v>112</v>
      </c>
      <c r="AL44" s="29" t="s">
        <v>157</v>
      </c>
    </row>
    <row r="45" spans="1:38" ht="15" customHeight="1" x14ac:dyDescent="0.2">
      <c r="A45" s="5" t="s">
        <v>158</v>
      </c>
      <c r="B45" s="6" t="s">
        <v>159</v>
      </c>
      <c r="C45" s="6" t="s">
        <v>25</v>
      </c>
      <c r="D45" s="7">
        <v>630000</v>
      </c>
      <c r="E45" s="7">
        <v>767000</v>
      </c>
      <c r="F45" s="7">
        <v>630000</v>
      </c>
      <c r="G45" s="7">
        <v>677000</v>
      </c>
      <c r="H45" s="7">
        <v>0</v>
      </c>
      <c r="I45" s="7">
        <v>0</v>
      </c>
      <c r="J45" s="8">
        <f t="shared" si="0"/>
        <v>2704000</v>
      </c>
      <c r="K45" s="6" t="s">
        <v>26</v>
      </c>
      <c r="L45" s="7">
        <v>630000</v>
      </c>
      <c r="M45" s="7">
        <v>687000</v>
      </c>
      <c r="N45" s="7">
        <v>630000</v>
      </c>
      <c r="O45" s="7">
        <v>653000</v>
      </c>
      <c r="P45" s="7">
        <v>0</v>
      </c>
      <c r="Q45" s="7">
        <v>0</v>
      </c>
      <c r="R45" s="8">
        <f t="shared" si="1"/>
        <v>2600000</v>
      </c>
      <c r="S45" s="6" t="s">
        <v>26</v>
      </c>
      <c r="T45" s="7">
        <v>630000</v>
      </c>
      <c r="U45" s="7">
        <v>663000</v>
      </c>
      <c r="V45" s="7">
        <v>630000</v>
      </c>
      <c r="W45" s="7">
        <v>933000</v>
      </c>
      <c r="X45" s="7">
        <v>0</v>
      </c>
      <c r="Y45" s="7">
        <v>0</v>
      </c>
      <c r="Z45" s="8">
        <f t="shared" si="2"/>
        <v>2856000</v>
      </c>
      <c r="AA45" s="6" t="s">
        <v>26</v>
      </c>
      <c r="AB45" s="9" t="s">
        <v>28</v>
      </c>
      <c r="AC45" s="9" t="s">
        <v>28</v>
      </c>
      <c r="AD45" s="9" t="s">
        <v>28</v>
      </c>
      <c r="AE45" s="9" t="s">
        <v>28</v>
      </c>
      <c r="AF45" s="9" t="s">
        <v>28</v>
      </c>
      <c r="AG45" s="9" t="s">
        <v>28</v>
      </c>
      <c r="AH45" s="10" t="s">
        <v>28</v>
      </c>
      <c r="AI45" s="6" t="s">
        <v>27</v>
      </c>
      <c r="AJ45" s="13">
        <f t="shared" si="4"/>
        <v>8160000</v>
      </c>
      <c r="AK45" s="5" t="s">
        <v>105</v>
      </c>
      <c r="AL45" s="14" t="s">
        <v>160</v>
      </c>
    </row>
    <row r="46" spans="1:38" ht="15" customHeight="1" x14ac:dyDescent="0.2">
      <c r="A46" s="5" t="s">
        <v>161</v>
      </c>
      <c r="B46" s="6" t="s">
        <v>162</v>
      </c>
      <c r="C46" s="6" t="s">
        <v>25</v>
      </c>
      <c r="D46" s="7">
        <v>430000</v>
      </c>
      <c r="E46" s="7">
        <v>767000</v>
      </c>
      <c r="F46" s="7">
        <v>430000</v>
      </c>
      <c r="G46" s="7">
        <v>677000</v>
      </c>
      <c r="H46" s="7">
        <v>0</v>
      </c>
      <c r="I46" s="7">
        <v>0</v>
      </c>
      <c r="J46" s="8">
        <f t="shared" si="0"/>
        <v>2304000</v>
      </c>
      <c r="K46" s="6" t="s">
        <v>26</v>
      </c>
      <c r="L46" s="7">
        <v>430000</v>
      </c>
      <c r="M46" s="7">
        <v>687000</v>
      </c>
      <c r="N46" s="7">
        <v>430000</v>
      </c>
      <c r="O46" s="7">
        <v>733000</v>
      </c>
      <c r="P46" s="7">
        <v>0</v>
      </c>
      <c r="Q46" s="7">
        <v>0</v>
      </c>
      <c r="R46" s="8">
        <f t="shared" si="1"/>
        <v>2280000</v>
      </c>
      <c r="S46" s="6" t="s">
        <v>26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8">
        <f t="shared" si="2"/>
        <v>0</v>
      </c>
      <c r="AA46" s="6" t="s">
        <v>27</v>
      </c>
      <c r="AB46" s="9" t="s">
        <v>28</v>
      </c>
      <c r="AC46" s="9" t="s">
        <v>28</v>
      </c>
      <c r="AD46" s="9" t="s">
        <v>28</v>
      </c>
      <c r="AE46" s="9" t="s">
        <v>28</v>
      </c>
      <c r="AF46" s="9" t="s">
        <v>28</v>
      </c>
      <c r="AG46" s="9" t="s">
        <v>28</v>
      </c>
      <c r="AH46" s="10" t="s">
        <v>28</v>
      </c>
      <c r="AI46" s="6" t="s">
        <v>27</v>
      </c>
      <c r="AJ46" s="13">
        <f t="shared" si="4"/>
        <v>4584000</v>
      </c>
      <c r="AK46" s="25" t="s">
        <v>163</v>
      </c>
      <c r="AL46" s="14" t="s">
        <v>164</v>
      </c>
    </row>
    <row r="47" spans="1:38" ht="15" customHeight="1" x14ac:dyDescent="0.2">
      <c r="A47" s="5" t="s">
        <v>165</v>
      </c>
      <c r="B47" s="6" t="s">
        <v>166</v>
      </c>
      <c r="C47" s="6" t="s">
        <v>25</v>
      </c>
      <c r="D47" s="7">
        <v>430000</v>
      </c>
      <c r="E47" s="7">
        <v>767000</v>
      </c>
      <c r="F47" s="7">
        <v>430000</v>
      </c>
      <c r="G47" s="7">
        <v>677000</v>
      </c>
      <c r="H47" s="7">
        <v>0</v>
      </c>
      <c r="I47" s="7">
        <v>0</v>
      </c>
      <c r="J47" s="8">
        <f t="shared" si="0"/>
        <v>2304000</v>
      </c>
      <c r="K47" s="6" t="s">
        <v>26</v>
      </c>
      <c r="L47" s="7">
        <v>430000</v>
      </c>
      <c r="M47" s="7">
        <v>687000</v>
      </c>
      <c r="N47" s="7">
        <v>430000</v>
      </c>
      <c r="O47" s="7">
        <v>733000</v>
      </c>
      <c r="P47" s="7">
        <v>0</v>
      </c>
      <c r="Q47" s="7">
        <v>0</v>
      </c>
      <c r="R47" s="8">
        <f t="shared" si="1"/>
        <v>2280000</v>
      </c>
      <c r="S47" s="6" t="s">
        <v>26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8">
        <f t="shared" si="2"/>
        <v>0</v>
      </c>
      <c r="AA47" s="6" t="s">
        <v>27</v>
      </c>
      <c r="AB47" s="9" t="s">
        <v>28</v>
      </c>
      <c r="AC47" s="9" t="s">
        <v>28</v>
      </c>
      <c r="AD47" s="9" t="s">
        <v>28</v>
      </c>
      <c r="AE47" s="9" t="s">
        <v>28</v>
      </c>
      <c r="AF47" s="9" t="s">
        <v>28</v>
      </c>
      <c r="AG47" s="9" t="s">
        <v>28</v>
      </c>
      <c r="AH47" s="10" t="s">
        <v>28</v>
      </c>
      <c r="AI47" s="6" t="s">
        <v>27</v>
      </c>
      <c r="AJ47" s="13">
        <f t="shared" si="4"/>
        <v>4584000</v>
      </c>
      <c r="AK47" s="5" t="s">
        <v>105</v>
      </c>
      <c r="AL47" s="14" t="s">
        <v>167</v>
      </c>
    </row>
    <row r="48" spans="1:38" ht="15" customHeight="1" x14ac:dyDescent="0.2">
      <c r="A48" s="5" t="s">
        <v>168</v>
      </c>
      <c r="B48" s="6" t="s">
        <v>169</v>
      </c>
      <c r="C48" s="6" t="s">
        <v>25</v>
      </c>
      <c r="D48" s="7">
        <v>430000</v>
      </c>
      <c r="E48" s="7">
        <v>767000</v>
      </c>
      <c r="F48" s="7">
        <v>430000</v>
      </c>
      <c r="G48" s="7">
        <v>677000</v>
      </c>
      <c r="H48" s="7">
        <v>0</v>
      </c>
      <c r="I48" s="7">
        <v>0</v>
      </c>
      <c r="J48" s="8">
        <f t="shared" si="0"/>
        <v>2304000</v>
      </c>
      <c r="K48" s="6" t="s">
        <v>26</v>
      </c>
      <c r="L48" s="7">
        <v>430000</v>
      </c>
      <c r="M48" s="7">
        <v>687000</v>
      </c>
      <c r="N48" s="7">
        <v>430000</v>
      </c>
      <c r="O48" s="7">
        <v>733000</v>
      </c>
      <c r="P48" s="7">
        <v>0</v>
      </c>
      <c r="Q48" s="7">
        <v>0</v>
      </c>
      <c r="R48" s="8">
        <f t="shared" si="1"/>
        <v>2280000</v>
      </c>
      <c r="S48" s="6" t="s">
        <v>26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8">
        <f t="shared" si="2"/>
        <v>0</v>
      </c>
      <c r="AA48" s="6" t="s">
        <v>27</v>
      </c>
      <c r="AB48" s="9" t="s">
        <v>28</v>
      </c>
      <c r="AC48" s="9" t="s">
        <v>28</v>
      </c>
      <c r="AD48" s="9" t="s">
        <v>28</v>
      </c>
      <c r="AE48" s="9" t="s">
        <v>28</v>
      </c>
      <c r="AF48" s="9" t="s">
        <v>28</v>
      </c>
      <c r="AG48" s="9" t="s">
        <v>28</v>
      </c>
      <c r="AH48" s="10" t="s">
        <v>28</v>
      </c>
      <c r="AI48" s="6" t="s">
        <v>27</v>
      </c>
      <c r="AJ48" s="13">
        <f t="shared" si="4"/>
        <v>4584000</v>
      </c>
      <c r="AK48" s="5" t="s">
        <v>105</v>
      </c>
      <c r="AL48" s="14" t="s">
        <v>170</v>
      </c>
    </row>
    <row r="49" spans="1:38" ht="15" customHeight="1" x14ac:dyDescent="0.2">
      <c r="A49" s="5" t="s">
        <v>171</v>
      </c>
      <c r="B49" s="6" t="s">
        <v>172</v>
      </c>
      <c r="C49" s="6" t="s">
        <v>25</v>
      </c>
      <c r="D49" s="7">
        <v>430000</v>
      </c>
      <c r="E49" s="7">
        <v>917000</v>
      </c>
      <c r="F49" s="7">
        <v>430000</v>
      </c>
      <c r="G49" s="7">
        <v>677000</v>
      </c>
      <c r="H49" s="7">
        <v>0</v>
      </c>
      <c r="I49" s="7">
        <v>0</v>
      </c>
      <c r="J49" s="8">
        <f t="shared" si="0"/>
        <v>2454000</v>
      </c>
      <c r="K49" s="6" t="s">
        <v>26</v>
      </c>
      <c r="L49" s="7">
        <v>430000</v>
      </c>
      <c r="M49" s="7">
        <v>837000</v>
      </c>
      <c r="N49" s="7">
        <v>430000</v>
      </c>
      <c r="O49" s="7">
        <v>933000</v>
      </c>
      <c r="P49" s="7">
        <v>0</v>
      </c>
      <c r="Q49" s="7">
        <v>0</v>
      </c>
      <c r="R49" s="8">
        <f t="shared" si="1"/>
        <v>2630000</v>
      </c>
      <c r="S49" s="6" t="s">
        <v>26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8">
        <f t="shared" si="2"/>
        <v>0</v>
      </c>
      <c r="AA49" s="6" t="s">
        <v>27</v>
      </c>
      <c r="AB49" s="9" t="s">
        <v>28</v>
      </c>
      <c r="AC49" s="9" t="s">
        <v>28</v>
      </c>
      <c r="AD49" s="9" t="s">
        <v>28</v>
      </c>
      <c r="AE49" s="9" t="s">
        <v>28</v>
      </c>
      <c r="AF49" s="9" t="s">
        <v>28</v>
      </c>
      <c r="AG49" s="9" t="s">
        <v>28</v>
      </c>
      <c r="AH49" s="10" t="s">
        <v>28</v>
      </c>
      <c r="AI49" s="6" t="s">
        <v>27</v>
      </c>
      <c r="AJ49" s="13">
        <f t="shared" si="4"/>
        <v>5084000</v>
      </c>
      <c r="AK49" s="5" t="s">
        <v>105</v>
      </c>
      <c r="AL49" s="14" t="s">
        <v>173</v>
      </c>
    </row>
    <row r="50" spans="1:38" ht="15" customHeight="1" x14ac:dyDescent="0.2">
      <c r="A50" s="5" t="s">
        <v>174</v>
      </c>
      <c r="B50" s="6" t="s">
        <v>175</v>
      </c>
      <c r="C50" s="6" t="s">
        <v>25</v>
      </c>
      <c r="D50" s="7">
        <v>430000</v>
      </c>
      <c r="E50" s="7">
        <v>767000</v>
      </c>
      <c r="F50" s="7">
        <v>430000</v>
      </c>
      <c r="G50" s="7">
        <v>677000</v>
      </c>
      <c r="H50" s="7">
        <v>0</v>
      </c>
      <c r="I50" s="7">
        <v>0</v>
      </c>
      <c r="J50" s="8">
        <f t="shared" si="0"/>
        <v>2304000</v>
      </c>
      <c r="K50" s="6" t="s">
        <v>26</v>
      </c>
      <c r="L50" s="7">
        <v>430000</v>
      </c>
      <c r="M50" s="7">
        <v>687000</v>
      </c>
      <c r="N50" s="7">
        <v>430000</v>
      </c>
      <c r="O50" s="7">
        <v>733000</v>
      </c>
      <c r="P50" s="7">
        <v>0</v>
      </c>
      <c r="Q50" s="7">
        <v>0</v>
      </c>
      <c r="R50" s="8">
        <f t="shared" si="1"/>
        <v>2280000</v>
      </c>
      <c r="S50" s="6" t="s">
        <v>26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8">
        <f t="shared" si="2"/>
        <v>0</v>
      </c>
      <c r="AA50" s="6" t="s">
        <v>27</v>
      </c>
      <c r="AB50" s="9" t="s">
        <v>28</v>
      </c>
      <c r="AC50" s="9" t="s">
        <v>28</v>
      </c>
      <c r="AD50" s="9" t="s">
        <v>28</v>
      </c>
      <c r="AE50" s="9" t="s">
        <v>28</v>
      </c>
      <c r="AF50" s="9" t="s">
        <v>28</v>
      </c>
      <c r="AG50" s="9" t="s">
        <v>28</v>
      </c>
      <c r="AH50" s="10" t="s">
        <v>28</v>
      </c>
      <c r="AI50" s="6" t="s">
        <v>27</v>
      </c>
      <c r="AJ50" s="13">
        <f t="shared" si="4"/>
        <v>4584000</v>
      </c>
      <c r="AK50" s="5" t="s">
        <v>105</v>
      </c>
      <c r="AL50" s="14" t="s">
        <v>176</v>
      </c>
    </row>
    <row r="51" spans="1:38" ht="15" customHeight="1" x14ac:dyDescent="0.2">
      <c r="A51" s="5" t="s">
        <v>177</v>
      </c>
      <c r="B51" s="6" t="s">
        <v>178</v>
      </c>
      <c r="C51" s="6" t="s">
        <v>25</v>
      </c>
      <c r="D51" s="7">
        <v>430000</v>
      </c>
      <c r="E51" s="7">
        <v>767000</v>
      </c>
      <c r="F51" s="7">
        <v>430000</v>
      </c>
      <c r="G51" s="7">
        <v>677000</v>
      </c>
      <c r="H51" s="7">
        <v>0</v>
      </c>
      <c r="I51" s="7">
        <v>0</v>
      </c>
      <c r="J51" s="8">
        <f t="shared" si="0"/>
        <v>2304000</v>
      </c>
      <c r="K51" s="6" t="s">
        <v>26</v>
      </c>
      <c r="L51" s="7">
        <v>430000</v>
      </c>
      <c r="M51" s="7">
        <v>687000</v>
      </c>
      <c r="N51" s="7">
        <v>430000</v>
      </c>
      <c r="O51" s="7">
        <v>733000</v>
      </c>
      <c r="P51" s="7">
        <v>0</v>
      </c>
      <c r="Q51" s="7">
        <v>0</v>
      </c>
      <c r="R51" s="8">
        <f t="shared" si="1"/>
        <v>2280000</v>
      </c>
      <c r="S51" s="6" t="s">
        <v>26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8">
        <f t="shared" si="2"/>
        <v>0</v>
      </c>
      <c r="AA51" s="6" t="s">
        <v>27</v>
      </c>
      <c r="AB51" s="9" t="s">
        <v>28</v>
      </c>
      <c r="AC51" s="9" t="s">
        <v>28</v>
      </c>
      <c r="AD51" s="9" t="s">
        <v>28</v>
      </c>
      <c r="AE51" s="9" t="s">
        <v>28</v>
      </c>
      <c r="AF51" s="9" t="s">
        <v>28</v>
      </c>
      <c r="AG51" s="9" t="s">
        <v>28</v>
      </c>
      <c r="AH51" s="10" t="s">
        <v>28</v>
      </c>
      <c r="AI51" s="6" t="s">
        <v>27</v>
      </c>
      <c r="AJ51" s="13">
        <f t="shared" si="4"/>
        <v>4584000</v>
      </c>
      <c r="AK51" s="5" t="s">
        <v>105</v>
      </c>
      <c r="AL51" s="14" t="s">
        <v>179</v>
      </c>
    </row>
    <row r="52" spans="1:38" ht="15" customHeight="1" x14ac:dyDescent="0.2">
      <c r="A52" s="5" t="s">
        <v>180</v>
      </c>
      <c r="B52" s="6" t="s">
        <v>181</v>
      </c>
      <c r="C52" s="6" t="s">
        <v>25</v>
      </c>
      <c r="D52" s="7">
        <v>430000</v>
      </c>
      <c r="E52" s="7">
        <v>767000</v>
      </c>
      <c r="F52" s="7">
        <v>430000</v>
      </c>
      <c r="G52" s="7">
        <v>677000</v>
      </c>
      <c r="H52" s="7">
        <v>0</v>
      </c>
      <c r="I52" s="7">
        <v>0</v>
      </c>
      <c r="J52" s="8">
        <f t="shared" si="0"/>
        <v>2304000</v>
      </c>
      <c r="K52" s="6" t="s">
        <v>26</v>
      </c>
      <c r="L52" s="7">
        <v>430000</v>
      </c>
      <c r="M52" s="7">
        <v>687000</v>
      </c>
      <c r="N52" s="7">
        <v>430000</v>
      </c>
      <c r="O52" s="7">
        <v>733000</v>
      </c>
      <c r="P52" s="7">
        <v>0</v>
      </c>
      <c r="Q52" s="7">
        <v>0</v>
      </c>
      <c r="R52" s="8">
        <f t="shared" si="1"/>
        <v>2280000</v>
      </c>
      <c r="S52" s="6" t="s">
        <v>26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8">
        <f t="shared" si="2"/>
        <v>0</v>
      </c>
      <c r="AA52" s="6" t="s">
        <v>27</v>
      </c>
      <c r="AB52" s="9" t="s">
        <v>28</v>
      </c>
      <c r="AC52" s="9" t="s">
        <v>28</v>
      </c>
      <c r="AD52" s="9" t="s">
        <v>28</v>
      </c>
      <c r="AE52" s="9" t="s">
        <v>28</v>
      </c>
      <c r="AF52" s="9" t="s">
        <v>28</v>
      </c>
      <c r="AG52" s="9" t="s">
        <v>28</v>
      </c>
      <c r="AH52" s="10" t="s">
        <v>28</v>
      </c>
      <c r="AI52" s="6" t="s">
        <v>27</v>
      </c>
      <c r="AJ52" s="13">
        <f t="shared" si="4"/>
        <v>4584000</v>
      </c>
      <c r="AK52" s="5" t="s">
        <v>105</v>
      </c>
      <c r="AL52" s="14" t="s">
        <v>182</v>
      </c>
    </row>
    <row r="53" spans="1:38" ht="15" customHeight="1" x14ac:dyDescent="0.2">
      <c r="A53" s="5" t="s">
        <v>183</v>
      </c>
      <c r="B53" s="6" t="s">
        <v>184</v>
      </c>
      <c r="C53" s="6" t="s">
        <v>25</v>
      </c>
      <c r="D53" s="7">
        <v>430000</v>
      </c>
      <c r="E53" s="7">
        <v>767000</v>
      </c>
      <c r="F53" s="7">
        <v>430000</v>
      </c>
      <c r="G53" s="7">
        <v>677000</v>
      </c>
      <c r="H53" s="7">
        <v>0</v>
      </c>
      <c r="I53" s="7">
        <v>0</v>
      </c>
      <c r="J53" s="8">
        <f t="shared" si="0"/>
        <v>2304000</v>
      </c>
      <c r="K53" s="6" t="s">
        <v>26</v>
      </c>
      <c r="L53" s="7">
        <v>430000</v>
      </c>
      <c r="M53" s="7">
        <v>687000</v>
      </c>
      <c r="N53" s="7">
        <v>430000</v>
      </c>
      <c r="O53" s="7">
        <v>733000</v>
      </c>
      <c r="P53" s="7">
        <v>0</v>
      </c>
      <c r="Q53" s="7">
        <v>0</v>
      </c>
      <c r="R53" s="8">
        <f t="shared" si="1"/>
        <v>2280000</v>
      </c>
      <c r="S53" s="6" t="s">
        <v>26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8">
        <f t="shared" si="2"/>
        <v>0</v>
      </c>
      <c r="AA53" s="6" t="s">
        <v>27</v>
      </c>
      <c r="AB53" s="9" t="s">
        <v>28</v>
      </c>
      <c r="AC53" s="9" t="s">
        <v>28</v>
      </c>
      <c r="AD53" s="9" t="s">
        <v>28</v>
      </c>
      <c r="AE53" s="9" t="s">
        <v>28</v>
      </c>
      <c r="AF53" s="9" t="s">
        <v>28</v>
      </c>
      <c r="AG53" s="9" t="s">
        <v>28</v>
      </c>
      <c r="AH53" s="10" t="s">
        <v>28</v>
      </c>
      <c r="AI53" s="6" t="s">
        <v>27</v>
      </c>
      <c r="AJ53" s="13">
        <f t="shared" si="4"/>
        <v>4584000</v>
      </c>
      <c r="AK53" s="5" t="s">
        <v>105</v>
      </c>
      <c r="AL53" s="14" t="s">
        <v>185</v>
      </c>
    </row>
    <row r="54" spans="1:38" ht="15" customHeight="1" x14ac:dyDescent="0.2">
      <c r="A54" s="5" t="s">
        <v>186</v>
      </c>
      <c r="B54" s="6" t="s">
        <v>187</v>
      </c>
      <c r="C54" s="6" t="s">
        <v>25</v>
      </c>
      <c r="D54" s="7">
        <v>430000</v>
      </c>
      <c r="E54" s="7">
        <v>767000</v>
      </c>
      <c r="F54" s="7">
        <v>430000</v>
      </c>
      <c r="G54" s="7">
        <v>677000</v>
      </c>
      <c r="H54" s="7">
        <v>0</v>
      </c>
      <c r="I54" s="7">
        <v>0</v>
      </c>
      <c r="J54" s="8">
        <f t="shared" si="0"/>
        <v>2304000</v>
      </c>
      <c r="K54" s="6" t="s">
        <v>26</v>
      </c>
      <c r="L54" s="7">
        <v>430000</v>
      </c>
      <c r="M54" s="7">
        <v>687000</v>
      </c>
      <c r="N54" s="7">
        <v>430000</v>
      </c>
      <c r="O54" s="7">
        <v>733000</v>
      </c>
      <c r="P54" s="7">
        <v>0</v>
      </c>
      <c r="Q54" s="7">
        <v>0</v>
      </c>
      <c r="R54" s="8">
        <f t="shared" si="1"/>
        <v>2280000</v>
      </c>
      <c r="S54" s="6" t="s">
        <v>26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8">
        <f t="shared" si="2"/>
        <v>0</v>
      </c>
      <c r="AA54" s="6" t="s">
        <v>27</v>
      </c>
      <c r="AB54" s="9" t="s">
        <v>28</v>
      </c>
      <c r="AC54" s="9" t="s">
        <v>28</v>
      </c>
      <c r="AD54" s="9" t="s">
        <v>28</v>
      </c>
      <c r="AE54" s="9" t="s">
        <v>28</v>
      </c>
      <c r="AF54" s="9" t="s">
        <v>28</v>
      </c>
      <c r="AG54" s="9" t="s">
        <v>28</v>
      </c>
      <c r="AH54" s="10" t="s">
        <v>28</v>
      </c>
      <c r="AI54" s="6" t="s">
        <v>27</v>
      </c>
      <c r="AJ54" s="13">
        <f t="shared" si="4"/>
        <v>4584000</v>
      </c>
      <c r="AK54" s="5" t="s">
        <v>105</v>
      </c>
      <c r="AL54" s="14" t="s">
        <v>188</v>
      </c>
    </row>
    <row r="55" spans="1:38" ht="15" customHeight="1" x14ac:dyDescent="0.2">
      <c r="A55" s="5" t="s">
        <v>189</v>
      </c>
      <c r="B55" s="6" t="s">
        <v>190</v>
      </c>
      <c r="C55" s="6" t="s">
        <v>25</v>
      </c>
      <c r="D55" s="7">
        <v>430000</v>
      </c>
      <c r="E55" s="7">
        <v>767000</v>
      </c>
      <c r="F55" s="7">
        <v>430000</v>
      </c>
      <c r="G55" s="7">
        <v>677000</v>
      </c>
      <c r="H55" s="7">
        <v>0</v>
      </c>
      <c r="I55" s="7">
        <v>0</v>
      </c>
      <c r="J55" s="8">
        <f t="shared" si="0"/>
        <v>2304000</v>
      </c>
      <c r="K55" s="6" t="s">
        <v>26</v>
      </c>
      <c r="L55" s="7">
        <v>430000</v>
      </c>
      <c r="M55" s="7">
        <v>687000</v>
      </c>
      <c r="N55" s="7">
        <v>430000</v>
      </c>
      <c r="O55" s="7">
        <v>733000</v>
      </c>
      <c r="P55" s="7">
        <v>0</v>
      </c>
      <c r="Q55" s="7">
        <v>0</v>
      </c>
      <c r="R55" s="8">
        <f t="shared" si="1"/>
        <v>2280000</v>
      </c>
      <c r="S55" s="6" t="s">
        <v>26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8">
        <f t="shared" si="2"/>
        <v>0</v>
      </c>
      <c r="AA55" s="6" t="s">
        <v>27</v>
      </c>
      <c r="AB55" s="9" t="s">
        <v>28</v>
      </c>
      <c r="AC55" s="9" t="s">
        <v>28</v>
      </c>
      <c r="AD55" s="9" t="s">
        <v>28</v>
      </c>
      <c r="AE55" s="9" t="s">
        <v>28</v>
      </c>
      <c r="AF55" s="9" t="s">
        <v>28</v>
      </c>
      <c r="AG55" s="9" t="s">
        <v>28</v>
      </c>
      <c r="AH55" s="10" t="s">
        <v>28</v>
      </c>
      <c r="AI55" s="6" t="s">
        <v>27</v>
      </c>
      <c r="AJ55" s="13">
        <f t="shared" si="4"/>
        <v>4584000</v>
      </c>
      <c r="AK55" s="5" t="s">
        <v>105</v>
      </c>
      <c r="AL55" s="14" t="s">
        <v>191</v>
      </c>
    </row>
    <row r="56" spans="1:38" ht="15" customHeight="1" x14ac:dyDescent="0.2">
      <c r="A56" s="5" t="s">
        <v>192</v>
      </c>
      <c r="B56" s="6" t="s">
        <v>193</v>
      </c>
      <c r="C56" s="6" t="s">
        <v>25</v>
      </c>
      <c r="D56" s="7">
        <v>430000</v>
      </c>
      <c r="E56" s="7">
        <v>767000</v>
      </c>
      <c r="F56" s="7">
        <v>430000</v>
      </c>
      <c r="G56" s="7">
        <v>677000</v>
      </c>
      <c r="H56" s="7">
        <v>0</v>
      </c>
      <c r="I56" s="7">
        <v>0</v>
      </c>
      <c r="J56" s="8">
        <f t="shared" si="0"/>
        <v>2304000</v>
      </c>
      <c r="K56" s="6" t="s">
        <v>26</v>
      </c>
      <c r="L56" s="7">
        <v>430000</v>
      </c>
      <c r="M56" s="7">
        <v>687000</v>
      </c>
      <c r="N56" s="7">
        <v>430000</v>
      </c>
      <c r="O56" s="7">
        <v>733000</v>
      </c>
      <c r="P56" s="7">
        <v>0</v>
      </c>
      <c r="Q56" s="7">
        <v>0</v>
      </c>
      <c r="R56" s="8">
        <f t="shared" si="1"/>
        <v>2280000</v>
      </c>
      <c r="S56" s="6" t="s">
        <v>26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8">
        <f t="shared" si="2"/>
        <v>0</v>
      </c>
      <c r="AA56" s="6" t="s">
        <v>27</v>
      </c>
      <c r="AB56" s="9" t="s">
        <v>28</v>
      </c>
      <c r="AC56" s="9" t="s">
        <v>28</v>
      </c>
      <c r="AD56" s="9" t="s">
        <v>28</v>
      </c>
      <c r="AE56" s="9" t="s">
        <v>28</v>
      </c>
      <c r="AF56" s="9" t="s">
        <v>28</v>
      </c>
      <c r="AG56" s="9" t="s">
        <v>28</v>
      </c>
      <c r="AH56" s="10" t="s">
        <v>28</v>
      </c>
      <c r="AI56" s="6" t="s">
        <v>27</v>
      </c>
      <c r="AJ56" s="13">
        <f t="shared" si="4"/>
        <v>4584000</v>
      </c>
      <c r="AK56" s="5" t="s">
        <v>105</v>
      </c>
      <c r="AL56" s="14" t="s">
        <v>194</v>
      </c>
    </row>
    <row r="57" spans="1:38" ht="15" customHeight="1" x14ac:dyDescent="0.2">
      <c r="A57" s="5" t="s">
        <v>195</v>
      </c>
      <c r="B57" s="6" t="s">
        <v>196</v>
      </c>
      <c r="C57" s="6" t="s">
        <v>25</v>
      </c>
      <c r="D57" s="7">
        <v>430000</v>
      </c>
      <c r="E57" s="7">
        <v>767000</v>
      </c>
      <c r="F57" s="7">
        <v>430000</v>
      </c>
      <c r="G57" s="7">
        <v>677000</v>
      </c>
      <c r="H57" s="7">
        <v>0</v>
      </c>
      <c r="I57" s="7">
        <v>0</v>
      </c>
      <c r="J57" s="8">
        <f t="shared" si="0"/>
        <v>2304000</v>
      </c>
      <c r="K57" s="6" t="s">
        <v>26</v>
      </c>
      <c r="L57" s="7">
        <v>430000</v>
      </c>
      <c r="M57" s="7">
        <v>687000</v>
      </c>
      <c r="N57" s="7">
        <v>430000</v>
      </c>
      <c r="O57" s="7">
        <v>733000</v>
      </c>
      <c r="P57" s="7">
        <v>0</v>
      </c>
      <c r="Q57" s="7">
        <v>0</v>
      </c>
      <c r="R57" s="8">
        <f t="shared" si="1"/>
        <v>2280000</v>
      </c>
      <c r="S57" s="6" t="s">
        <v>26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8">
        <f t="shared" si="2"/>
        <v>0</v>
      </c>
      <c r="AA57" s="6" t="s">
        <v>27</v>
      </c>
      <c r="AB57" s="9" t="s">
        <v>28</v>
      </c>
      <c r="AC57" s="9" t="s">
        <v>28</v>
      </c>
      <c r="AD57" s="9" t="s">
        <v>28</v>
      </c>
      <c r="AE57" s="9" t="s">
        <v>28</v>
      </c>
      <c r="AF57" s="9" t="s">
        <v>28</v>
      </c>
      <c r="AG57" s="9" t="s">
        <v>28</v>
      </c>
      <c r="AH57" s="10" t="s">
        <v>28</v>
      </c>
      <c r="AI57" s="6" t="s">
        <v>27</v>
      </c>
      <c r="AJ57" s="13">
        <f t="shared" si="4"/>
        <v>4584000</v>
      </c>
      <c r="AK57" s="5" t="s">
        <v>105</v>
      </c>
      <c r="AL57" s="14" t="s">
        <v>197</v>
      </c>
    </row>
    <row r="58" spans="1:38" ht="15" customHeight="1" x14ac:dyDescent="0.2">
      <c r="A58" s="5" t="s">
        <v>198</v>
      </c>
      <c r="B58" s="6" t="s">
        <v>199</v>
      </c>
      <c r="C58" s="6" t="s">
        <v>25</v>
      </c>
      <c r="D58" s="7">
        <v>1563500</v>
      </c>
      <c r="E58" s="7">
        <v>914500</v>
      </c>
      <c r="F58" s="7">
        <v>1563500</v>
      </c>
      <c r="G58" s="7">
        <v>834500</v>
      </c>
      <c r="H58" s="7">
        <v>0</v>
      </c>
      <c r="I58" s="7">
        <v>0</v>
      </c>
      <c r="J58" s="8">
        <f t="shared" si="0"/>
        <v>4876000</v>
      </c>
      <c r="K58" s="6" t="s">
        <v>26</v>
      </c>
      <c r="L58" s="7">
        <v>1563500</v>
      </c>
      <c r="M58" s="7">
        <v>854500</v>
      </c>
      <c r="N58" s="7">
        <v>1563500</v>
      </c>
      <c r="O58" s="7">
        <v>834500</v>
      </c>
      <c r="P58" s="7">
        <v>0</v>
      </c>
      <c r="Q58" s="7">
        <v>0</v>
      </c>
      <c r="R58" s="8">
        <f t="shared" si="1"/>
        <v>4816000</v>
      </c>
      <c r="S58" s="6" t="s">
        <v>26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8">
        <f t="shared" si="2"/>
        <v>0</v>
      </c>
      <c r="AA58" s="6" t="s">
        <v>27</v>
      </c>
      <c r="AB58" s="9" t="s">
        <v>28</v>
      </c>
      <c r="AC58" s="9" t="s">
        <v>28</v>
      </c>
      <c r="AD58" s="9" t="s">
        <v>28</v>
      </c>
      <c r="AE58" s="9" t="s">
        <v>28</v>
      </c>
      <c r="AF58" s="9" t="s">
        <v>28</v>
      </c>
      <c r="AG58" s="9" t="s">
        <v>28</v>
      </c>
      <c r="AH58" s="10" t="s">
        <v>28</v>
      </c>
      <c r="AI58" s="6" t="s">
        <v>27</v>
      </c>
      <c r="AJ58" s="11">
        <f t="shared" si="4"/>
        <v>9692000</v>
      </c>
      <c r="AK58" s="5" t="s">
        <v>101</v>
      </c>
      <c r="AL58" s="12" t="s">
        <v>200</v>
      </c>
    </row>
    <row r="59" spans="1:38" ht="15" customHeight="1" x14ac:dyDescent="0.2">
      <c r="A59" s="5" t="s">
        <v>201</v>
      </c>
      <c r="B59" s="6" t="s">
        <v>202</v>
      </c>
      <c r="C59" s="6" t="s">
        <v>25</v>
      </c>
      <c r="D59" s="7">
        <v>1563500</v>
      </c>
      <c r="E59" s="7">
        <v>914500</v>
      </c>
      <c r="F59" s="7">
        <v>1563500</v>
      </c>
      <c r="G59" s="7">
        <v>834500</v>
      </c>
      <c r="H59" s="7">
        <v>0</v>
      </c>
      <c r="I59" s="7">
        <v>0</v>
      </c>
      <c r="J59" s="8">
        <f t="shared" si="0"/>
        <v>4876000</v>
      </c>
      <c r="K59" s="6" t="s">
        <v>26</v>
      </c>
      <c r="L59" s="7">
        <v>1563500</v>
      </c>
      <c r="M59" s="7">
        <v>854500</v>
      </c>
      <c r="N59" s="7">
        <v>1563500</v>
      </c>
      <c r="O59" s="7">
        <v>834500</v>
      </c>
      <c r="P59" s="7">
        <v>0</v>
      </c>
      <c r="Q59" s="7">
        <v>0</v>
      </c>
      <c r="R59" s="8">
        <f t="shared" si="1"/>
        <v>4816000</v>
      </c>
      <c r="S59" s="6" t="s">
        <v>26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8">
        <f t="shared" si="2"/>
        <v>0</v>
      </c>
      <c r="AA59" s="6" t="s">
        <v>27</v>
      </c>
      <c r="AB59" s="9" t="s">
        <v>28</v>
      </c>
      <c r="AC59" s="9" t="s">
        <v>28</v>
      </c>
      <c r="AD59" s="9" t="s">
        <v>28</v>
      </c>
      <c r="AE59" s="9" t="s">
        <v>28</v>
      </c>
      <c r="AF59" s="9" t="s">
        <v>28</v>
      </c>
      <c r="AG59" s="9" t="s">
        <v>28</v>
      </c>
      <c r="AH59" s="10" t="s">
        <v>28</v>
      </c>
      <c r="AI59" s="6" t="s">
        <v>27</v>
      </c>
      <c r="AJ59" s="11">
        <f t="shared" si="4"/>
        <v>9692000</v>
      </c>
      <c r="AK59" s="5" t="s">
        <v>101</v>
      </c>
      <c r="AL59" s="12" t="s">
        <v>203</v>
      </c>
    </row>
    <row r="60" spans="1:38" ht="15" customHeight="1" x14ac:dyDescent="0.2">
      <c r="A60" s="5" t="s">
        <v>204</v>
      </c>
      <c r="B60" s="6" t="s">
        <v>205</v>
      </c>
      <c r="C60" s="6" t="s">
        <v>25</v>
      </c>
      <c r="D60" s="7">
        <v>1563500</v>
      </c>
      <c r="E60" s="7">
        <v>914500</v>
      </c>
      <c r="F60" s="7">
        <v>1563500</v>
      </c>
      <c r="G60" s="7">
        <v>834500</v>
      </c>
      <c r="H60" s="7">
        <v>0</v>
      </c>
      <c r="I60" s="7">
        <v>0</v>
      </c>
      <c r="J60" s="8">
        <f t="shared" si="0"/>
        <v>4876000</v>
      </c>
      <c r="K60" s="6" t="s">
        <v>26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8">
        <f t="shared" si="1"/>
        <v>0</v>
      </c>
      <c r="S60" s="6" t="s">
        <v>27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8">
        <f t="shared" si="2"/>
        <v>0</v>
      </c>
      <c r="AA60" s="6" t="s">
        <v>27</v>
      </c>
      <c r="AB60" s="9" t="s">
        <v>28</v>
      </c>
      <c r="AC60" s="9" t="s">
        <v>28</v>
      </c>
      <c r="AD60" s="9" t="s">
        <v>28</v>
      </c>
      <c r="AE60" s="9" t="s">
        <v>28</v>
      </c>
      <c r="AF60" s="9" t="s">
        <v>28</v>
      </c>
      <c r="AG60" s="9" t="s">
        <v>28</v>
      </c>
      <c r="AH60" s="10" t="s">
        <v>28</v>
      </c>
      <c r="AI60" s="6" t="s">
        <v>27</v>
      </c>
      <c r="AJ60" s="11">
        <f t="shared" si="4"/>
        <v>4876000</v>
      </c>
      <c r="AK60" s="5" t="s">
        <v>101</v>
      </c>
      <c r="AL60" s="12" t="s">
        <v>206</v>
      </c>
    </row>
    <row r="61" spans="1:38" ht="15" customHeight="1" x14ac:dyDescent="0.2">
      <c r="A61" s="5" t="s">
        <v>207</v>
      </c>
      <c r="B61" s="6" t="s">
        <v>208</v>
      </c>
      <c r="C61" s="6" t="s">
        <v>25</v>
      </c>
      <c r="D61" s="7">
        <v>1563500</v>
      </c>
      <c r="E61" s="7">
        <v>914500</v>
      </c>
      <c r="F61" s="7">
        <v>1563500</v>
      </c>
      <c r="G61" s="7">
        <v>834500</v>
      </c>
      <c r="H61" s="7">
        <v>0</v>
      </c>
      <c r="I61" s="7">
        <v>0</v>
      </c>
      <c r="J61" s="8">
        <f t="shared" si="0"/>
        <v>4876000</v>
      </c>
      <c r="K61" s="6" t="s">
        <v>26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8">
        <f t="shared" si="1"/>
        <v>0</v>
      </c>
      <c r="S61" s="6" t="s">
        <v>27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8">
        <f t="shared" si="2"/>
        <v>0</v>
      </c>
      <c r="AA61" s="6" t="s">
        <v>27</v>
      </c>
      <c r="AB61" s="9" t="s">
        <v>28</v>
      </c>
      <c r="AC61" s="9" t="s">
        <v>28</v>
      </c>
      <c r="AD61" s="9" t="s">
        <v>28</v>
      </c>
      <c r="AE61" s="9" t="s">
        <v>28</v>
      </c>
      <c r="AF61" s="9" t="s">
        <v>28</v>
      </c>
      <c r="AG61" s="9" t="s">
        <v>28</v>
      </c>
      <c r="AH61" s="10" t="s">
        <v>28</v>
      </c>
      <c r="AI61" s="6" t="s">
        <v>27</v>
      </c>
      <c r="AJ61" s="11">
        <f t="shared" si="4"/>
        <v>4876000</v>
      </c>
      <c r="AK61" s="5" t="s">
        <v>101</v>
      </c>
      <c r="AL61" s="12" t="s">
        <v>209</v>
      </c>
    </row>
    <row r="62" spans="1:38" ht="15" customHeight="1" x14ac:dyDescent="0.2">
      <c r="A62" s="5" t="s">
        <v>210</v>
      </c>
      <c r="B62" s="6" t="s">
        <v>211</v>
      </c>
      <c r="C62" s="6" t="s">
        <v>25</v>
      </c>
      <c r="D62" s="7">
        <v>400000</v>
      </c>
      <c r="E62" s="7">
        <v>430000</v>
      </c>
      <c r="F62" s="7">
        <v>400000</v>
      </c>
      <c r="G62" s="7">
        <v>365000</v>
      </c>
      <c r="H62" s="7">
        <v>0</v>
      </c>
      <c r="I62" s="7">
        <v>0</v>
      </c>
      <c r="J62" s="8">
        <f t="shared" si="0"/>
        <v>1595000</v>
      </c>
      <c r="K62" s="6" t="s">
        <v>26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8">
        <f t="shared" si="1"/>
        <v>0</v>
      </c>
      <c r="S62" s="6" t="s">
        <v>27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8">
        <f t="shared" si="2"/>
        <v>0</v>
      </c>
      <c r="AA62" s="6" t="s">
        <v>27</v>
      </c>
      <c r="AB62" s="9" t="s">
        <v>28</v>
      </c>
      <c r="AC62" s="9" t="s">
        <v>28</v>
      </c>
      <c r="AD62" s="9" t="s">
        <v>28</v>
      </c>
      <c r="AE62" s="9" t="s">
        <v>28</v>
      </c>
      <c r="AF62" s="9" t="s">
        <v>28</v>
      </c>
      <c r="AG62" s="9" t="s">
        <v>28</v>
      </c>
      <c r="AH62" s="10" t="s">
        <v>28</v>
      </c>
      <c r="AI62" s="6" t="s">
        <v>27</v>
      </c>
      <c r="AJ62" s="11">
        <f t="shared" si="4"/>
        <v>1595000</v>
      </c>
      <c r="AK62" s="5" t="s">
        <v>101</v>
      </c>
      <c r="AL62" s="12" t="s">
        <v>212</v>
      </c>
    </row>
    <row r="63" spans="1:38" ht="15" customHeight="1" x14ac:dyDescent="0.2">
      <c r="A63" s="5" t="s">
        <v>213</v>
      </c>
      <c r="B63" s="6" t="s">
        <v>214</v>
      </c>
      <c r="C63" s="6" t="s">
        <v>25</v>
      </c>
      <c r="D63" s="7">
        <v>630000</v>
      </c>
      <c r="E63" s="7">
        <v>767000</v>
      </c>
      <c r="F63" s="7">
        <v>630000</v>
      </c>
      <c r="G63" s="7">
        <v>677000</v>
      </c>
      <c r="H63" s="7">
        <v>0</v>
      </c>
      <c r="I63" s="7">
        <v>0</v>
      </c>
      <c r="J63" s="8">
        <f t="shared" si="0"/>
        <v>2704000</v>
      </c>
      <c r="K63" s="6" t="s">
        <v>26</v>
      </c>
      <c r="L63" s="7">
        <v>630000</v>
      </c>
      <c r="M63" s="7">
        <v>687000</v>
      </c>
      <c r="N63" s="7">
        <v>630000</v>
      </c>
      <c r="O63" s="7">
        <v>853000</v>
      </c>
      <c r="P63" s="7">
        <v>0</v>
      </c>
      <c r="Q63" s="7">
        <v>0</v>
      </c>
      <c r="R63" s="8">
        <f t="shared" si="1"/>
        <v>2800000</v>
      </c>
      <c r="S63" s="6" t="s">
        <v>26</v>
      </c>
      <c r="T63" s="7">
        <v>630000</v>
      </c>
      <c r="U63" s="7">
        <v>663000</v>
      </c>
      <c r="V63" s="7">
        <v>630000</v>
      </c>
      <c r="W63" s="7">
        <v>933000</v>
      </c>
      <c r="X63" s="7">
        <v>0</v>
      </c>
      <c r="Y63" s="7">
        <v>0</v>
      </c>
      <c r="Z63" s="8">
        <f t="shared" si="2"/>
        <v>2856000</v>
      </c>
      <c r="AA63" s="6" t="s">
        <v>26</v>
      </c>
      <c r="AB63" s="9" t="s">
        <v>28</v>
      </c>
      <c r="AC63" s="9" t="s">
        <v>28</v>
      </c>
      <c r="AD63" s="9" t="s">
        <v>28</v>
      </c>
      <c r="AE63" s="9" t="s">
        <v>28</v>
      </c>
      <c r="AF63" s="9" t="s">
        <v>28</v>
      </c>
      <c r="AG63" s="9" t="s">
        <v>28</v>
      </c>
      <c r="AH63" s="10" t="s">
        <v>28</v>
      </c>
      <c r="AI63" s="6" t="s">
        <v>27</v>
      </c>
      <c r="AJ63" s="13">
        <f t="shared" si="4"/>
        <v>8360000</v>
      </c>
      <c r="AK63" s="5" t="s">
        <v>215</v>
      </c>
      <c r="AL63" s="14" t="s">
        <v>216</v>
      </c>
    </row>
    <row r="64" spans="1:38" ht="15" customHeight="1" x14ac:dyDescent="0.2">
      <c r="A64" s="5" t="s">
        <v>217</v>
      </c>
      <c r="B64" s="6" t="s">
        <v>218</v>
      </c>
      <c r="C64" s="6" t="s">
        <v>25</v>
      </c>
      <c r="D64" s="7">
        <v>630000</v>
      </c>
      <c r="E64" s="7">
        <v>767000</v>
      </c>
      <c r="F64" s="7">
        <v>630000</v>
      </c>
      <c r="G64" s="7">
        <v>677000</v>
      </c>
      <c r="H64" s="7">
        <v>0</v>
      </c>
      <c r="I64" s="7">
        <v>0</v>
      </c>
      <c r="J64" s="8">
        <f t="shared" si="0"/>
        <v>2704000</v>
      </c>
      <c r="K64" s="6" t="s">
        <v>26</v>
      </c>
      <c r="L64" s="7">
        <v>630000</v>
      </c>
      <c r="M64" s="7">
        <v>687000</v>
      </c>
      <c r="N64" s="7">
        <v>630000</v>
      </c>
      <c r="O64" s="7">
        <v>653000</v>
      </c>
      <c r="P64" s="7">
        <v>0</v>
      </c>
      <c r="Q64" s="7">
        <v>0</v>
      </c>
      <c r="R64" s="8">
        <f t="shared" si="1"/>
        <v>2600000</v>
      </c>
      <c r="S64" s="6" t="s">
        <v>26</v>
      </c>
      <c r="T64" s="7">
        <v>630000</v>
      </c>
      <c r="U64" s="7">
        <v>663000</v>
      </c>
      <c r="V64" s="7">
        <v>630000</v>
      </c>
      <c r="W64" s="7">
        <v>933000</v>
      </c>
      <c r="X64" s="7">
        <v>0</v>
      </c>
      <c r="Y64" s="7">
        <v>0</v>
      </c>
      <c r="Z64" s="8">
        <f t="shared" si="2"/>
        <v>2856000</v>
      </c>
      <c r="AA64" s="6" t="s">
        <v>26</v>
      </c>
      <c r="AB64" s="9" t="s">
        <v>28</v>
      </c>
      <c r="AC64" s="9" t="s">
        <v>28</v>
      </c>
      <c r="AD64" s="9" t="s">
        <v>28</v>
      </c>
      <c r="AE64" s="9" t="s">
        <v>28</v>
      </c>
      <c r="AF64" s="9" t="s">
        <v>28</v>
      </c>
      <c r="AG64" s="9" t="s">
        <v>28</v>
      </c>
      <c r="AH64" s="10" t="s">
        <v>28</v>
      </c>
      <c r="AI64" s="6" t="s">
        <v>27</v>
      </c>
      <c r="AJ64" s="13">
        <f t="shared" si="4"/>
        <v>8160000</v>
      </c>
      <c r="AK64" s="5" t="s">
        <v>215</v>
      </c>
      <c r="AL64" s="14" t="s">
        <v>219</v>
      </c>
    </row>
    <row r="65" spans="1:38" ht="15" customHeight="1" x14ac:dyDescent="0.2">
      <c r="A65" s="5" t="s">
        <v>220</v>
      </c>
      <c r="B65" s="6" t="s">
        <v>221</v>
      </c>
      <c r="C65" s="6" t="s">
        <v>25</v>
      </c>
      <c r="D65" s="7">
        <v>280000</v>
      </c>
      <c r="E65" s="7">
        <v>184000</v>
      </c>
      <c r="F65" s="7">
        <v>280000</v>
      </c>
      <c r="G65" s="7">
        <v>154000</v>
      </c>
      <c r="H65" s="7">
        <v>280000</v>
      </c>
      <c r="I65" s="7">
        <v>154000</v>
      </c>
      <c r="J65" s="8">
        <f t="shared" si="0"/>
        <v>1332000</v>
      </c>
      <c r="K65" s="6" t="s">
        <v>26</v>
      </c>
      <c r="L65" s="7">
        <v>280000</v>
      </c>
      <c r="M65" s="7">
        <v>154000</v>
      </c>
      <c r="N65" s="7">
        <v>280000</v>
      </c>
      <c r="O65" s="7">
        <v>154000</v>
      </c>
      <c r="P65" s="7">
        <v>280000</v>
      </c>
      <c r="Q65" s="7">
        <v>154000</v>
      </c>
      <c r="R65" s="8">
        <f t="shared" si="1"/>
        <v>1302000</v>
      </c>
      <c r="S65" s="6" t="s">
        <v>26</v>
      </c>
      <c r="T65" s="7">
        <v>280000</v>
      </c>
      <c r="U65" s="7">
        <v>154000</v>
      </c>
      <c r="V65" s="7">
        <v>280000</v>
      </c>
      <c r="W65" s="7">
        <v>154000</v>
      </c>
      <c r="X65" s="7">
        <v>280000</v>
      </c>
      <c r="Y65" s="7">
        <v>234000</v>
      </c>
      <c r="Z65" s="8">
        <f t="shared" si="2"/>
        <v>1382000</v>
      </c>
      <c r="AA65" s="6" t="s">
        <v>26</v>
      </c>
      <c r="AB65" s="9" t="s">
        <v>28</v>
      </c>
      <c r="AC65" s="9" t="s">
        <v>28</v>
      </c>
      <c r="AD65" s="9" t="s">
        <v>28</v>
      </c>
      <c r="AE65" s="9" t="s">
        <v>28</v>
      </c>
      <c r="AF65" s="9" t="s">
        <v>28</v>
      </c>
      <c r="AG65" s="9" t="s">
        <v>28</v>
      </c>
      <c r="AH65" s="10" t="s">
        <v>28</v>
      </c>
      <c r="AI65" s="6" t="s">
        <v>27</v>
      </c>
      <c r="AJ65" s="13">
        <f t="shared" si="4"/>
        <v>4016000</v>
      </c>
      <c r="AK65" s="5" t="s">
        <v>215</v>
      </c>
      <c r="AL65" s="14" t="s">
        <v>222</v>
      </c>
    </row>
    <row r="66" spans="1:38" ht="15" customHeight="1" x14ac:dyDescent="0.2">
      <c r="A66" s="5" t="s">
        <v>223</v>
      </c>
      <c r="B66" s="6" t="s">
        <v>224</v>
      </c>
      <c r="C66" s="6" t="s">
        <v>25</v>
      </c>
      <c r="D66" s="7">
        <v>630000</v>
      </c>
      <c r="E66" s="7">
        <v>767000</v>
      </c>
      <c r="F66" s="7">
        <v>630000</v>
      </c>
      <c r="G66" s="7">
        <v>677000</v>
      </c>
      <c r="H66" s="7">
        <v>0</v>
      </c>
      <c r="I66" s="7">
        <v>0</v>
      </c>
      <c r="J66" s="8">
        <f t="shared" si="0"/>
        <v>2704000</v>
      </c>
      <c r="K66" s="6" t="s">
        <v>26</v>
      </c>
      <c r="L66" s="7">
        <v>630000</v>
      </c>
      <c r="M66" s="7">
        <v>687000</v>
      </c>
      <c r="N66" s="7">
        <v>630000</v>
      </c>
      <c r="O66" s="7">
        <v>853000</v>
      </c>
      <c r="P66" s="7">
        <v>0</v>
      </c>
      <c r="Q66" s="7">
        <v>0</v>
      </c>
      <c r="R66" s="8">
        <f t="shared" si="1"/>
        <v>2800000</v>
      </c>
      <c r="S66" s="6" t="s">
        <v>26</v>
      </c>
      <c r="T66" s="7">
        <v>630000</v>
      </c>
      <c r="U66" s="7">
        <v>663000</v>
      </c>
      <c r="V66" s="7">
        <v>630000</v>
      </c>
      <c r="W66" s="7">
        <v>933000</v>
      </c>
      <c r="X66" s="7">
        <v>0</v>
      </c>
      <c r="Y66" s="7">
        <v>0</v>
      </c>
      <c r="Z66" s="8">
        <f t="shared" si="2"/>
        <v>2856000</v>
      </c>
      <c r="AA66" s="6" t="s">
        <v>26</v>
      </c>
      <c r="AB66" s="9" t="s">
        <v>28</v>
      </c>
      <c r="AC66" s="9" t="s">
        <v>28</v>
      </c>
      <c r="AD66" s="9" t="s">
        <v>28</v>
      </c>
      <c r="AE66" s="9" t="s">
        <v>28</v>
      </c>
      <c r="AF66" s="9" t="s">
        <v>28</v>
      </c>
      <c r="AG66" s="9" t="s">
        <v>28</v>
      </c>
      <c r="AH66" s="27" t="s">
        <v>28</v>
      </c>
      <c r="AI66" s="6" t="s">
        <v>27</v>
      </c>
      <c r="AJ66" s="28">
        <f t="shared" si="4"/>
        <v>8360000</v>
      </c>
      <c r="AK66" s="5" t="s">
        <v>225</v>
      </c>
      <c r="AL66" s="29" t="s">
        <v>226</v>
      </c>
    </row>
    <row r="67" spans="1:38" ht="15" customHeight="1" x14ac:dyDescent="0.2">
      <c r="A67" s="5" t="s">
        <v>227</v>
      </c>
      <c r="B67" s="6" t="s">
        <v>228</v>
      </c>
      <c r="C67" s="6" t="s">
        <v>25</v>
      </c>
      <c r="D67" s="7">
        <v>280000</v>
      </c>
      <c r="E67" s="7">
        <v>184000</v>
      </c>
      <c r="F67" s="7">
        <v>280000</v>
      </c>
      <c r="G67" s="7">
        <v>154000</v>
      </c>
      <c r="H67" s="7">
        <v>280000</v>
      </c>
      <c r="I67" s="7">
        <v>154000</v>
      </c>
      <c r="J67" s="8">
        <f t="shared" si="0"/>
        <v>1332000</v>
      </c>
      <c r="K67" s="6" t="s">
        <v>26</v>
      </c>
      <c r="L67" s="7">
        <v>280000</v>
      </c>
      <c r="M67" s="7">
        <v>154000</v>
      </c>
      <c r="N67" s="7">
        <v>280000</v>
      </c>
      <c r="O67" s="7">
        <v>154000</v>
      </c>
      <c r="P67" s="7">
        <v>280000</v>
      </c>
      <c r="Q67" s="7">
        <v>154000</v>
      </c>
      <c r="R67" s="8">
        <f t="shared" si="1"/>
        <v>1302000</v>
      </c>
      <c r="S67" s="6" t="s">
        <v>26</v>
      </c>
      <c r="T67" s="7">
        <v>280000</v>
      </c>
      <c r="U67" s="7">
        <v>154000</v>
      </c>
      <c r="V67" s="7">
        <v>280000</v>
      </c>
      <c r="W67" s="7">
        <v>154000</v>
      </c>
      <c r="X67" s="7">
        <v>280000</v>
      </c>
      <c r="Y67" s="7">
        <v>234000</v>
      </c>
      <c r="Z67" s="8">
        <f t="shared" si="2"/>
        <v>1382000</v>
      </c>
      <c r="AA67" s="6" t="s">
        <v>26</v>
      </c>
      <c r="AB67" s="9" t="s">
        <v>28</v>
      </c>
      <c r="AC67" s="9" t="s">
        <v>28</v>
      </c>
      <c r="AD67" s="9" t="s">
        <v>28</v>
      </c>
      <c r="AE67" s="9" t="s">
        <v>28</v>
      </c>
      <c r="AF67" s="9" t="s">
        <v>28</v>
      </c>
      <c r="AG67" s="9" t="s">
        <v>28</v>
      </c>
      <c r="AH67" s="27" t="s">
        <v>28</v>
      </c>
      <c r="AI67" s="6" t="s">
        <v>27</v>
      </c>
      <c r="AJ67" s="28">
        <f t="shared" si="4"/>
        <v>4016000</v>
      </c>
      <c r="AK67" s="5" t="s">
        <v>229</v>
      </c>
      <c r="AL67" s="29" t="s">
        <v>230</v>
      </c>
    </row>
    <row r="68" spans="1:38" ht="15" customHeight="1" x14ac:dyDescent="0.2">
      <c r="A68" s="5" t="s">
        <v>231</v>
      </c>
      <c r="B68" s="6" t="s">
        <v>232</v>
      </c>
      <c r="C68" s="6" t="s">
        <v>25</v>
      </c>
      <c r="D68" s="7">
        <v>280000</v>
      </c>
      <c r="E68" s="7">
        <v>184000</v>
      </c>
      <c r="F68" s="7">
        <v>280000</v>
      </c>
      <c r="G68" s="7">
        <v>154000</v>
      </c>
      <c r="H68" s="7">
        <v>280000</v>
      </c>
      <c r="I68" s="7">
        <v>154000</v>
      </c>
      <c r="J68" s="8">
        <f t="shared" ref="J68:J131" si="5">SUM(D68:I68)</f>
        <v>1332000</v>
      </c>
      <c r="K68" s="6" t="s">
        <v>26</v>
      </c>
      <c r="L68" s="7">
        <v>280000</v>
      </c>
      <c r="M68" s="7">
        <v>154000</v>
      </c>
      <c r="N68" s="7">
        <v>280000</v>
      </c>
      <c r="O68" s="7">
        <v>154000</v>
      </c>
      <c r="P68" s="7">
        <v>280000</v>
      </c>
      <c r="Q68" s="7">
        <v>154000</v>
      </c>
      <c r="R68" s="8">
        <f t="shared" ref="R68:R131" si="6">SUM(L68:Q68)</f>
        <v>1302000</v>
      </c>
      <c r="S68" s="6" t="s">
        <v>26</v>
      </c>
      <c r="T68" s="7">
        <v>280000</v>
      </c>
      <c r="U68" s="7">
        <v>154000</v>
      </c>
      <c r="V68" s="7">
        <v>280000</v>
      </c>
      <c r="W68" s="7">
        <v>154000</v>
      </c>
      <c r="X68" s="7">
        <v>280000</v>
      </c>
      <c r="Y68" s="7">
        <v>234000</v>
      </c>
      <c r="Z68" s="8">
        <f t="shared" ref="Z68:Z131" si="7">SUM(T68:Y68)</f>
        <v>1382000</v>
      </c>
      <c r="AA68" s="6" t="s">
        <v>26</v>
      </c>
      <c r="AB68" s="9" t="s">
        <v>28</v>
      </c>
      <c r="AC68" s="9" t="s">
        <v>28</v>
      </c>
      <c r="AD68" s="9" t="s">
        <v>28</v>
      </c>
      <c r="AE68" s="9" t="s">
        <v>28</v>
      </c>
      <c r="AF68" s="9" t="s">
        <v>28</v>
      </c>
      <c r="AG68" s="9" t="s">
        <v>28</v>
      </c>
      <c r="AH68" s="10" t="s">
        <v>28</v>
      </c>
      <c r="AI68" s="6" t="s">
        <v>27</v>
      </c>
      <c r="AJ68" s="13">
        <f t="shared" si="4"/>
        <v>4016000</v>
      </c>
      <c r="AK68" s="5" t="s">
        <v>215</v>
      </c>
      <c r="AL68" s="14" t="s">
        <v>233</v>
      </c>
    </row>
    <row r="69" spans="1:38" ht="15" customHeight="1" x14ac:dyDescent="0.2">
      <c r="A69" s="5" t="s">
        <v>234</v>
      </c>
      <c r="B69" s="6" t="s">
        <v>235</v>
      </c>
      <c r="C69" s="6" t="s">
        <v>25</v>
      </c>
      <c r="D69" s="7">
        <v>280000</v>
      </c>
      <c r="E69" s="7">
        <v>184000</v>
      </c>
      <c r="F69" s="7">
        <v>280000</v>
      </c>
      <c r="G69" s="7">
        <v>154000</v>
      </c>
      <c r="H69" s="7">
        <v>280000</v>
      </c>
      <c r="I69" s="7">
        <v>154000</v>
      </c>
      <c r="J69" s="8">
        <f t="shared" si="5"/>
        <v>1332000</v>
      </c>
      <c r="K69" s="6" t="s">
        <v>26</v>
      </c>
      <c r="L69" s="7">
        <v>280000</v>
      </c>
      <c r="M69" s="7">
        <v>154000</v>
      </c>
      <c r="N69" s="7">
        <v>280000</v>
      </c>
      <c r="O69" s="7">
        <v>154000</v>
      </c>
      <c r="P69" s="7">
        <v>280000</v>
      </c>
      <c r="Q69" s="7">
        <v>154000</v>
      </c>
      <c r="R69" s="8">
        <f t="shared" si="6"/>
        <v>1302000</v>
      </c>
      <c r="S69" s="6" t="s">
        <v>26</v>
      </c>
      <c r="T69" s="7">
        <v>280000</v>
      </c>
      <c r="U69" s="7">
        <v>154000</v>
      </c>
      <c r="V69" s="7">
        <v>280000</v>
      </c>
      <c r="W69" s="7">
        <v>154000</v>
      </c>
      <c r="X69" s="7">
        <v>280000</v>
      </c>
      <c r="Y69" s="7">
        <v>234000</v>
      </c>
      <c r="Z69" s="8">
        <f t="shared" si="7"/>
        <v>1382000</v>
      </c>
      <c r="AA69" s="6" t="s">
        <v>26</v>
      </c>
      <c r="AB69" s="9" t="s">
        <v>28</v>
      </c>
      <c r="AC69" s="9" t="s">
        <v>28</v>
      </c>
      <c r="AD69" s="9" t="s">
        <v>28</v>
      </c>
      <c r="AE69" s="9" t="s">
        <v>28</v>
      </c>
      <c r="AF69" s="9" t="s">
        <v>28</v>
      </c>
      <c r="AG69" s="9" t="s">
        <v>28</v>
      </c>
      <c r="AH69" s="10" t="s">
        <v>28</v>
      </c>
      <c r="AI69" s="6" t="s">
        <v>27</v>
      </c>
      <c r="AJ69" s="13">
        <f t="shared" si="4"/>
        <v>4016000</v>
      </c>
      <c r="AK69" s="5" t="s">
        <v>215</v>
      </c>
      <c r="AL69" s="14" t="s">
        <v>236</v>
      </c>
    </row>
    <row r="70" spans="1:38" ht="15" customHeight="1" x14ac:dyDescent="0.2">
      <c r="A70" s="5" t="s">
        <v>237</v>
      </c>
      <c r="B70" s="6" t="s">
        <v>238</v>
      </c>
      <c r="C70" s="6" t="s">
        <v>25</v>
      </c>
      <c r="D70" s="7">
        <v>680000</v>
      </c>
      <c r="E70" s="7">
        <v>767000</v>
      </c>
      <c r="F70" s="7">
        <v>680000</v>
      </c>
      <c r="G70" s="7">
        <v>677000</v>
      </c>
      <c r="H70" s="7">
        <v>0</v>
      </c>
      <c r="I70" s="7">
        <v>0</v>
      </c>
      <c r="J70" s="8">
        <f t="shared" si="5"/>
        <v>2804000</v>
      </c>
      <c r="K70" s="6" t="s">
        <v>26</v>
      </c>
      <c r="L70" s="7">
        <v>680000</v>
      </c>
      <c r="M70" s="7">
        <v>687000</v>
      </c>
      <c r="N70" s="7">
        <v>680000</v>
      </c>
      <c r="O70" s="7">
        <v>853000</v>
      </c>
      <c r="P70" s="7">
        <v>0</v>
      </c>
      <c r="Q70" s="7">
        <v>0</v>
      </c>
      <c r="R70" s="8">
        <f t="shared" si="6"/>
        <v>2900000</v>
      </c>
      <c r="S70" s="6" t="s">
        <v>26</v>
      </c>
      <c r="T70" s="7">
        <v>680000</v>
      </c>
      <c r="U70" s="7">
        <v>663000</v>
      </c>
      <c r="V70" s="7">
        <v>680000</v>
      </c>
      <c r="W70" s="7">
        <v>933000</v>
      </c>
      <c r="X70" s="7">
        <v>0</v>
      </c>
      <c r="Y70" s="7">
        <v>0</v>
      </c>
      <c r="Z70" s="8">
        <f t="shared" si="7"/>
        <v>2956000</v>
      </c>
      <c r="AA70" s="6" t="s">
        <v>26</v>
      </c>
      <c r="AB70" s="9" t="s">
        <v>28</v>
      </c>
      <c r="AC70" s="9" t="s">
        <v>28</v>
      </c>
      <c r="AD70" s="9" t="s">
        <v>28</v>
      </c>
      <c r="AE70" s="9" t="s">
        <v>28</v>
      </c>
      <c r="AF70" s="9" t="s">
        <v>28</v>
      </c>
      <c r="AG70" s="9" t="s">
        <v>28</v>
      </c>
      <c r="AH70" s="10" t="s">
        <v>28</v>
      </c>
      <c r="AI70" s="6" t="s">
        <v>27</v>
      </c>
      <c r="AJ70" s="13">
        <f t="shared" si="4"/>
        <v>8660000</v>
      </c>
      <c r="AK70" s="5" t="s">
        <v>215</v>
      </c>
      <c r="AL70" s="14" t="s">
        <v>239</v>
      </c>
    </row>
    <row r="71" spans="1:38" ht="15" customHeight="1" x14ac:dyDescent="0.2">
      <c r="A71" s="5" t="s">
        <v>240</v>
      </c>
      <c r="B71" s="6" t="s">
        <v>241</v>
      </c>
      <c r="C71" s="6" t="s">
        <v>25</v>
      </c>
      <c r="D71" s="7">
        <v>630000</v>
      </c>
      <c r="E71" s="7">
        <v>767000</v>
      </c>
      <c r="F71" s="7">
        <v>630000</v>
      </c>
      <c r="G71" s="7">
        <v>677000</v>
      </c>
      <c r="H71" s="7">
        <v>0</v>
      </c>
      <c r="I71" s="7">
        <v>0</v>
      </c>
      <c r="J71" s="8">
        <f t="shared" si="5"/>
        <v>2704000</v>
      </c>
      <c r="K71" s="6" t="s">
        <v>26</v>
      </c>
      <c r="L71" s="7">
        <v>630000</v>
      </c>
      <c r="M71" s="7">
        <v>687000</v>
      </c>
      <c r="N71" s="7">
        <v>630000</v>
      </c>
      <c r="O71" s="7">
        <v>653000</v>
      </c>
      <c r="P71" s="7">
        <v>0</v>
      </c>
      <c r="Q71" s="7">
        <v>0</v>
      </c>
      <c r="R71" s="8">
        <f t="shared" si="6"/>
        <v>2600000</v>
      </c>
      <c r="S71" s="6" t="s">
        <v>26</v>
      </c>
      <c r="T71" s="7">
        <v>630000</v>
      </c>
      <c r="U71" s="7">
        <v>663000</v>
      </c>
      <c r="V71" s="7">
        <v>630000</v>
      </c>
      <c r="W71" s="7">
        <v>933000</v>
      </c>
      <c r="X71" s="7">
        <v>0</v>
      </c>
      <c r="Y71" s="7">
        <v>0</v>
      </c>
      <c r="Z71" s="8">
        <f t="shared" si="7"/>
        <v>2856000</v>
      </c>
      <c r="AA71" s="6" t="s">
        <v>26</v>
      </c>
      <c r="AB71" s="9" t="s">
        <v>28</v>
      </c>
      <c r="AC71" s="9" t="s">
        <v>28</v>
      </c>
      <c r="AD71" s="9" t="s">
        <v>28</v>
      </c>
      <c r="AE71" s="9" t="s">
        <v>28</v>
      </c>
      <c r="AF71" s="9" t="s">
        <v>28</v>
      </c>
      <c r="AG71" s="9" t="s">
        <v>28</v>
      </c>
      <c r="AH71" s="10" t="s">
        <v>28</v>
      </c>
      <c r="AI71" s="6" t="s">
        <v>27</v>
      </c>
      <c r="AJ71" s="13">
        <f t="shared" si="4"/>
        <v>8160000</v>
      </c>
      <c r="AK71" s="5" t="s">
        <v>215</v>
      </c>
      <c r="AL71" s="14" t="s">
        <v>242</v>
      </c>
    </row>
    <row r="72" spans="1:38" ht="20.25" customHeight="1" x14ac:dyDescent="0.2">
      <c r="A72" s="5" t="s">
        <v>240</v>
      </c>
      <c r="B72" s="6" t="s">
        <v>243</v>
      </c>
      <c r="C72" s="6" t="s">
        <v>25</v>
      </c>
      <c r="D72" s="7">
        <v>630000</v>
      </c>
      <c r="E72" s="7">
        <v>767000</v>
      </c>
      <c r="F72" s="7">
        <v>630000</v>
      </c>
      <c r="G72" s="7">
        <v>677000</v>
      </c>
      <c r="H72" s="7">
        <v>0</v>
      </c>
      <c r="I72" s="7">
        <v>0</v>
      </c>
      <c r="J72" s="8">
        <f t="shared" si="5"/>
        <v>2704000</v>
      </c>
      <c r="K72" s="6" t="s">
        <v>26</v>
      </c>
      <c r="L72" s="7">
        <v>630000</v>
      </c>
      <c r="M72" s="7">
        <v>687000</v>
      </c>
      <c r="N72" s="7">
        <v>630000</v>
      </c>
      <c r="O72" s="7">
        <v>653000</v>
      </c>
      <c r="P72" s="7">
        <v>0</v>
      </c>
      <c r="Q72" s="7">
        <v>0</v>
      </c>
      <c r="R72" s="8">
        <f t="shared" si="6"/>
        <v>2600000</v>
      </c>
      <c r="S72" s="6" t="s">
        <v>26</v>
      </c>
      <c r="T72" s="7">
        <v>630000</v>
      </c>
      <c r="U72" s="7">
        <v>663000</v>
      </c>
      <c r="V72" s="7">
        <v>630000</v>
      </c>
      <c r="W72" s="7">
        <v>933000</v>
      </c>
      <c r="X72" s="7">
        <v>0</v>
      </c>
      <c r="Y72" s="7">
        <v>0</v>
      </c>
      <c r="Z72" s="8">
        <f t="shared" si="7"/>
        <v>2856000</v>
      </c>
      <c r="AA72" s="6" t="s">
        <v>26</v>
      </c>
      <c r="AB72" s="9" t="s">
        <v>28</v>
      </c>
      <c r="AC72" s="9" t="s">
        <v>28</v>
      </c>
      <c r="AD72" s="9" t="s">
        <v>28</v>
      </c>
      <c r="AE72" s="9" t="s">
        <v>28</v>
      </c>
      <c r="AF72" s="9" t="s">
        <v>28</v>
      </c>
      <c r="AG72" s="9" t="s">
        <v>28</v>
      </c>
      <c r="AH72" s="10" t="s">
        <v>28</v>
      </c>
      <c r="AI72" s="6" t="s">
        <v>27</v>
      </c>
      <c r="AJ72" s="13">
        <f t="shared" si="4"/>
        <v>8160000</v>
      </c>
      <c r="AK72" s="25" t="s">
        <v>244</v>
      </c>
      <c r="AL72" s="26" t="s">
        <v>245</v>
      </c>
    </row>
    <row r="73" spans="1:38" ht="15" customHeight="1" x14ac:dyDescent="0.2">
      <c r="A73" s="5" t="s">
        <v>246</v>
      </c>
      <c r="B73" s="6" t="s">
        <v>247</v>
      </c>
      <c r="C73" s="6" t="s">
        <v>25</v>
      </c>
      <c r="D73" s="7">
        <v>730000</v>
      </c>
      <c r="E73" s="7">
        <v>985250</v>
      </c>
      <c r="F73" s="7">
        <v>730000</v>
      </c>
      <c r="G73" s="7">
        <v>895250</v>
      </c>
      <c r="H73" s="7">
        <v>0</v>
      </c>
      <c r="I73" s="7">
        <v>0</v>
      </c>
      <c r="J73" s="8">
        <f t="shared" si="5"/>
        <v>3340500</v>
      </c>
      <c r="K73" s="6" t="s">
        <v>26</v>
      </c>
      <c r="L73" s="7">
        <v>730000</v>
      </c>
      <c r="M73" s="7">
        <v>905250</v>
      </c>
      <c r="N73" s="7">
        <v>730000</v>
      </c>
      <c r="O73" s="7">
        <v>1071250</v>
      </c>
      <c r="P73" s="7">
        <v>0</v>
      </c>
      <c r="Q73" s="7">
        <v>0</v>
      </c>
      <c r="R73" s="8">
        <f t="shared" si="6"/>
        <v>3436500</v>
      </c>
      <c r="S73" s="6" t="s">
        <v>26</v>
      </c>
      <c r="T73" s="7">
        <v>730000</v>
      </c>
      <c r="U73" s="7">
        <v>881250</v>
      </c>
      <c r="V73" s="7">
        <v>730000</v>
      </c>
      <c r="W73" s="7">
        <v>951250</v>
      </c>
      <c r="X73" s="7">
        <v>0</v>
      </c>
      <c r="Y73" s="7">
        <v>0</v>
      </c>
      <c r="Z73" s="8">
        <f t="shared" si="7"/>
        <v>3292500</v>
      </c>
      <c r="AA73" s="6" t="s">
        <v>26</v>
      </c>
      <c r="AB73" s="9" t="s">
        <v>28</v>
      </c>
      <c r="AC73" s="9" t="s">
        <v>28</v>
      </c>
      <c r="AD73" s="9" t="s">
        <v>28</v>
      </c>
      <c r="AE73" s="9" t="s">
        <v>28</v>
      </c>
      <c r="AF73" s="9" t="s">
        <v>28</v>
      </c>
      <c r="AG73" s="9" t="s">
        <v>28</v>
      </c>
      <c r="AH73" s="27" t="s">
        <v>28</v>
      </c>
      <c r="AI73" s="6" t="s">
        <v>27</v>
      </c>
      <c r="AJ73" s="28">
        <f t="shared" si="4"/>
        <v>10069500</v>
      </c>
      <c r="AK73" s="5" t="s">
        <v>248</v>
      </c>
      <c r="AL73" s="29" t="s">
        <v>249</v>
      </c>
    </row>
    <row r="74" spans="1:38" ht="15" customHeight="1" x14ac:dyDescent="0.2">
      <c r="A74" s="5" t="s">
        <v>250</v>
      </c>
      <c r="B74" s="6" t="s">
        <v>251</v>
      </c>
      <c r="C74" s="6" t="s">
        <v>25</v>
      </c>
      <c r="D74" s="7">
        <v>530000</v>
      </c>
      <c r="E74" s="7">
        <v>985250</v>
      </c>
      <c r="F74" s="7">
        <v>530000</v>
      </c>
      <c r="G74" s="7">
        <v>895250</v>
      </c>
      <c r="H74" s="7">
        <v>0</v>
      </c>
      <c r="I74" s="7">
        <v>0</v>
      </c>
      <c r="J74" s="8">
        <f t="shared" si="5"/>
        <v>2940500</v>
      </c>
      <c r="K74" s="6" t="s">
        <v>26</v>
      </c>
      <c r="L74" s="7">
        <v>530000</v>
      </c>
      <c r="M74" s="7">
        <v>905250</v>
      </c>
      <c r="N74" s="7">
        <v>530000</v>
      </c>
      <c r="O74" s="7">
        <v>1151250</v>
      </c>
      <c r="P74" s="7">
        <v>0</v>
      </c>
      <c r="Q74" s="7">
        <v>0</v>
      </c>
      <c r="R74" s="8">
        <f t="shared" si="6"/>
        <v>3116500</v>
      </c>
      <c r="S74" s="6" t="s">
        <v>26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8">
        <f t="shared" si="7"/>
        <v>0</v>
      </c>
      <c r="AA74" s="6" t="s">
        <v>27</v>
      </c>
      <c r="AB74" s="9" t="s">
        <v>28</v>
      </c>
      <c r="AC74" s="9" t="s">
        <v>28</v>
      </c>
      <c r="AD74" s="9" t="s">
        <v>28</v>
      </c>
      <c r="AE74" s="9" t="s">
        <v>28</v>
      </c>
      <c r="AF74" s="9" t="s">
        <v>28</v>
      </c>
      <c r="AG74" s="9" t="s">
        <v>28</v>
      </c>
      <c r="AH74" s="10" t="s">
        <v>28</v>
      </c>
      <c r="AI74" s="6" t="s">
        <v>27</v>
      </c>
      <c r="AJ74" s="13">
        <f t="shared" si="4"/>
        <v>6057000</v>
      </c>
      <c r="AK74" s="5" t="s">
        <v>215</v>
      </c>
      <c r="AL74" s="14" t="s">
        <v>252</v>
      </c>
    </row>
    <row r="75" spans="1:38" ht="15" customHeight="1" x14ac:dyDescent="0.2">
      <c r="A75" s="5" t="s">
        <v>253</v>
      </c>
      <c r="B75" s="6" t="s">
        <v>254</v>
      </c>
      <c r="C75" s="6" t="s">
        <v>25</v>
      </c>
      <c r="D75" s="7">
        <v>430000</v>
      </c>
      <c r="E75" s="7">
        <v>767000</v>
      </c>
      <c r="F75" s="7">
        <v>430000</v>
      </c>
      <c r="G75" s="7">
        <v>877000</v>
      </c>
      <c r="H75" s="7">
        <v>0</v>
      </c>
      <c r="I75" s="7">
        <v>0</v>
      </c>
      <c r="J75" s="8">
        <f t="shared" si="5"/>
        <v>2504000</v>
      </c>
      <c r="K75" s="6" t="s">
        <v>26</v>
      </c>
      <c r="L75" s="7">
        <v>430000</v>
      </c>
      <c r="M75" s="7">
        <v>687000</v>
      </c>
      <c r="N75" s="7">
        <v>430000</v>
      </c>
      <c r="O75" s="7">
        <v>933000</v>
      </c>
      <c r="P75" s="7">
        <v>0</v>
      </c>
      <c r="Q75" s="7">
        <v>0</v>
      </c>
      <c r="R75" s="8">
        <f t="shared" si="6"/>
        <v>2480000</v>
      </c>
      <c r="S75" s="6" t="s">
        <v>26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8">
        <f t="shared" si="7"/>
        <v>0</v>
      </c>
      <c r="AA75" s="6" t="s">
        <v>27</v>
      </c>
      <c r="AB75" s="9" t="s">
        <v>28</v>
      </c>
      <c r="AC75" s="9" t="s">
        <v>28</v>
      </c>
      <c r="AD75" s="9" t="s">
        <v>28</v>
      </c>
      <c r="AE75" s="9" t="s">
        <v>28</v>
      </c>
      <c r="AF75" s="9" t="s">
        <v>28</v>
      </c>
      <c r="AG75" s="9" t="s">
        <v>28</v>
      </c>
      <c r="AH75" s="27" t="s">
        <v>28</v>
      </c>
      <c r="AI75" s="6" t="s">
        <v>27</v>
      </c>
      <c r="AJ75" s="28">
        <f t="shared" si="4"/>
        <v>4984000</v>
      </c>
      <c r="AK75" s="25" t="s">
        <v>255</v>
      </c>
      <c r="AL75" s="29" t="s">
        <v>256</v>
      </c>
    </row>
    <row r="76" spans="1:38" ht="15" customHeight="1" x14ac:dyDescent="0.2">
      <c r="A76" s="5" t="s">
        <v>257</v>
      </c>
      <c r="B76" s="6" t="s">
        <v>258</v>
      </c>
      <c r="C76" s="6" t="s">
        <v>25</v>
      </c>
      <c r="D76" s="7">
        <v>230000</v>
      </c>
      <c r="E76" s="7">
        <v>184000</v>
      </c>
      <c r="F76" s="7">
        <v>230000</v>
      </c>
      <c r="G76" s="7">
        <v>154000</v>
      </c>
      <c r="H76" s="7">
        <v>230000</v>
      </c>
      <c r="I76" s="7">
        <v>264000</v>
      </c>
      <c r="J76" s="8">
        <f t="shared" si="5"/>
        <v>1292000</v>
      </c>
      <c r="K76" s="6" t="s">
        <v>26</v>
      </c>
      <c r="L76" s="7">
        <v>230000</v>
      </c>
      <c r="M76" s="7">
        <v>154000</v>
      </c>
      <c r="N76" s="7">
        <v>230000</v>
      </c>
      <c r="O76" s="7">
        <v>154000</v>
      </c>
      <c r="P76" s="7">
        <v>230000</v>
      </c>
      <c r="Q76" s="7">
        <v>344000</v>
      </c>
      <c r="R76" s="8">
        <f t="shared" si="6"/>
        <v>1342000</v>
      </c>
      <c r="S76" s="6" t="s">
        <v>26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8">
        <f t="shared" si="7"/>
        <v>0</v>
      </c>
      <c r="AA76" s="6" t="s">
        <v>27</v>
      </c>
      <c r="AB76" s="9" t="s">
        <v>28</v>
      </c>
      <c r="AC76" s="9" t="s">
        <v>28</v>
      </c>
      <c r="AD76" s="9" t="s">
        <v>28</v>
      </c>
      <c r="AE76" s="9" t="s">
        <v>28</v>
      </c>
      <c r="AF76" s="9" t="s">
        <v>28</v>
      </c>
      <c r="AG76" s="9" t="s">
        <v>28</v>
      </c>
      <c r="AH76" s="10" t="s">
        <v>28</v>
      </c>
      <c r="AI76" s="6" t="s">
        <v>27</v>
      </c>
      <c r="AJ76" s="13">
        <f t="shared" si="4"/>
        <v>2634000</v>
      </c>
      <c r="AK76" s="5" t="s">
        <v>215</v>
      </c>
      <c r="AL76" s="14" t="s">
        <v>259</v>
      </c>
    </row>
    <row r="77" spans="1:38" ht="15" customHeight="1" x14ac:dyDescent="0.2">
      <c r="A77" s="5" t="s">
        <v>260</v>
      </c>
      <c r="B77" s="6" t="s">
        <v>261</v>
      </c>
      <c r="C77" s="6" t="s">
        <v>25</v>
      </c>
      <c r="D77" s="7">
        <v>230000</v>
      </c>
      <c r="E77" s="7">
        <v>184000</v>
      </c>
      <c r="F77" s="7">
        <v>230000</v>
      </c>
      <c r="G77" s="7">
        <v>154000</v>
      </c>
      <c r="H77" s="7">
        <v>230000</v>
      </c>
      <c r="I77" s="7">
        <v>264000</v>
      </c>
      <c r="J77" s="8">
        <f t="shared" si="5"/>
        <v>1292000</v>
      </c>
      <c r="K77" s="6" t="s">
        <v>26</v>
      </c>
      <c r="L77" s="7">
        <v>230000</v>
      </c>
      <c r="M77" s="7">
        <v>154000</v>
      </c>
      <c r="N77" s="7">
        <v>230000</v>
      </c>
      <c r="O77" s="7">
        <v>154000</v>
      </c>
      <c r="P77" s="7">
        <v>230000</v>
      </c>
      <c r="Q77" s="7">
        <v>344000</v>
      </c>
      <c r="R77" s="8">
        <f t="shared" si="6"/>
        <v>1342000</v>
      </c>
      <c r="S77" s="6" t="s">
        <v>26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8">
        <f t="shared" si="7"/>
        <v>0</v>
      </c>
      <c r="AA77" s="6" t="s">
        <v>27</v>
      </c>
      <c r="AB77" s="9" t="s">
        <v>28</v>
      </c>
      <c r="AC77" s="9" t="s">
        <v>28</v>
      </c>
      <c r="AD77" s="9" t="s">
        <v>28</v>
      </c>
      <c r="AE77" s="9" t="s">
        <v>28</v>
      </c>
      <c r="AF77" s="9" t="s">
        <v>28</v>
      </c>
      <c r="AG77" s="9" t="s">
        <v>28</v>
      </c>
      <c r="AH77" s="10" t="s">
        <v>28</v>
      </c>
      <c r="AI77" s="6" t="s">
        <v>27</v>
      </c>
      <c r="AJ77" s="13">
        <f t="shared" si="4"/>
        <v>2634000</v>
      </c>
      <c r="AK77" s="5" t="s">
        <v>215</v>
      </c>
      <c r="AL77" s="14" t="s">
        <v>262</v>
      </c>
    </row>
    <row r="78" spans="1:38" ht="15" customHeight="1" x14ac:dyDescent="0.2">
      <c r="A78" s="5" t="s">
        <v>263</v>
      </c>
      <c r="B78" s="6" t="s">
        <v>264</v>
      </c>
      <c r="C78" s="6" t="s">
        <v>25</v>
      </c>
      <c r="D78" s="7">
        <v>230000</v>
      </c>
      <c r="E78" s="7">
        <v>184000</v>
      </c>
      <c r="F78" s="7">
        <v>230000</v>
      </c>
      <c r="G78" s="7">
        <v>154000</v>
      </c>
      <c r="H78" s="7">
        <v>230000</v>
      </c>
      <c r="I78" s="7">
        <v>264000</v>
      </c>
      <c r="J78" s="8">
        <f t="shared" si="5"/>
        <v>1292000</v>
      </c>
      <c r="K78" s="6" t="s">
        <v>26</v>
      </c>
      <c r="L78" s="7">
        <v>230000</v>
      </c>
      <c r="M78" s="7">
        <v>154000</v>
      </c>
      <c r="N78" s="7">
        <v>230000</v>
      </c>
      <c r="O78" s="7">
        <v>154000</v>
      </c>
      <c r="P78" s="7">
        <v>230000</v>
      </c>
      <c r="Q78" s="7">
        <v>344000</v>
      </c>
      <c r="R78" s="8">
        <f t="shared" si="6"/>
        <v>1342000</v>
      </c>
      <c r="S78" s="6" t="s">
        <v>26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8">
        <f t="shared" si="7"/>
        <v>0</v>
      </c>
      <c r="AA78" s="6" t="s">
        <v>27</v>
      </c>
      <c r="AB78" s="9" t="s">
        <v>28</v>
      </c>
      <c r="AC78" s="9" t="s">
        <v>28</v>
      </c>
      <c r="AD78" s="9" t="s">
        <v>28</v>
      </c>
      <c r="AE78" s="9" t="s">
        <v>28</v>
      </c>
      <c r="AF78" s="9" t="s">
        <v>28</v>
      </c>
      <c r="AG78" s="9" t="s">
        <v>28</v>
      </c>
      <c r="AH78" s="10" t="s">
        <v>28</v>
      </c>
      <c r="AI78" s="6" t="s">
        <v>27</v>
      </c>
      <c r="AJ78" s="13">
        <f t="shared" si="4"/>
        <v>2634000</v>
      </c>
      <c r="AK78" s="5" t="s">
        <v>215</v>
      </c>
      <c r="AL78" s="14" t="s">
        <v>265</v>
      </c>
    </row>
    <row r="79" spans="1:38" ht="15" customHeight="1" x14ac:dyDescent="0.2">
      <c r="A79" s="5" t="s">
        <v>266</v>
      </c>
      <c r="B79" s="6" t="s">
        <v>267</v>
      </c>
      <c r="C79" s="6" t="s">
        <v>25</v>
      </c>
      <c r="D79" s="7">
        <v>230000</v>
      </c>
      <c r="E79" s="7">
        <v>184000</v>
      </c>
      <c r="F79" s="7">
        <v>230000</v>
      </c>
      <c r="G79" s="7">
        <v>154000</v>
      </c>
      <c r="H79" s="7">
        <v>230000</v>
      </c>
      <c r="I79" s="7">
        <v>264000</v>
      </c>
      <c r="J79" s="8">
        <f t="shared" si="5"/>
        <v>1292000</v>
      </c>
      <c r="K79" s="6" t="s">
        <v>26</v>
      </c>
      <c r="L79" s="7">
        <v>230000</v>
      </c>
      <c r="M79" s="7">
        <v>154000</v>
      </c>
      <c r="N79" s="7">
        <v>230000</v>
      </c>
      <c r="O79" s="7">
        <v>154000</v>
      </c>
      <c r="P79" s="7">
        <v>230000</v>
      </c>
      <c r="Q79" s="7">
        <v>344000</v>
      </c>
      <c r="R79" s="8">
        <f t="shared" si="6"/>
        <v>1342000</v>
      </c>
      <c r="S79" s="6" t="s">
        <v>26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8">
        <f t="shared" si="7"/>
        <v>0</v>
      </c>
      <c r="AA79" s="6" t="s">
        <v>27</v>
      </c>
      <c r="AB79" s="9" t="s">
        <v>28</v>
      </c>
      <c r="AC79" s="9" t="s">
        <v>28</v>
      </c>
      <c r="AD79" s="9" t="s">
        <v>28</v>
      </c>
      <c r="AE79" s="9" t="s">
        <v>28</v>
      </c>
      <c r="AF79" s="9" t="s">
        <v>28</v>
      </c>
      <c r="AG79" s="9" t="s">
        <v>28</v>
      </c>
      <c r="AH79" s="10" t="s">
        <v>28</v>
      </c>
      <c r="AI79" s="6" t="s">
        <v>27</v>
      </c>
      <c r="AJ79" s="13">
        <f t="shared" si="4"/>
        <v>2634000</v>
      </c>
      <c r="AK79" s="5" t="s">
        <v>215</v>
      </c>
      <c r="AL79" s="14" t="s">
        <v>268</v>
      </c>
    </row>
    <row r="80" spans="1:38" ht="15" customHeight="1" x14ac:dyDescent="0.2">
      <c r="A80" s="5" t="s">
        <v>269</v>
      </c>
      <c r="B80" s="6" t="s">
        <v>270</v>
      </c>
      <c r="C80" s="6" t="s">
        <v>25</v>
      </c>
      <c r="D80" s="7">
        <v>230000</v>
      </c>
      <c r="E80" s="7">
        <v>184000</v>
      </c>
      <c r="F80" s="7">
        <v>230000</v>
      </c>
      <c r="G80" s="7">
        <v>154000</v>
      </c>
      <c r="H80" s="7">
        <v>230000</v>
      </c>
      <c r="I80" s="7">
        <v>264000</v>
      </c>
      <c r="J80" s="8">
        <f t="shared" si="5"/>
        <v>1292000</v>
      </c>
      <c r="K80" s="6" t="s">
        <v>26</v>
      </c>
      <c r="L80" s="7">
        <v>230000</v>
      </c>
      <c r="M80" s="7">
        <v>154000</v>
      </c>
      <c r="N80" s="7">
        <v>230000</v>
      </c>
      <c r="O80" s="7">
        <v>154000</v>
      </c>
      <c r="P80" s="7">
        <v>230000</v>
      </c>
      <c r="Q80" s="7">
        <v>344000</v>
      </c>
      <c r="R80" s="8">
        <f t="shared" si="6"/>
        <v>1342000</v>
      </c>
      <c r="S80" s="6" t="s">
        <v>26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8">
        <f t="shared" si="7"/>
        <v>0</v>
      </c>
      <c r="AA80" s="6" t="s">
        <v>27</v>
      </c>
      <c r="AB80" s="9" t="s">
        <v>28</v>
      </c>
      <c r="AC80" s="9" t="s">
        <v>28</v>
      </c>
      <c r="AD80" s="9" t="s">
        <v>28</v>
      </c>
      <c r="AE80" s="9" t="s">
        <v>28</v>
      </c>
      <c r="AF80" s="9" t="s">
        <v>28</v>
      </c>
      <c r="AG80" s="9" t="s">
        <v>28</v>
      </c>
      <c r="AH80" s="10" t="s">
        <v>28</v>
      </c>
      <c r="AI80" s="6" t="s">
        <v>27</v>
      </c>
      <c r="AJ80" s="13">
        <f t="shared" si="4"/>
        <v>2634000</v>
      </c>
      <c r="AK80" s="25" t="s">
        <v>271</v>
      </c>
      <c r="AL80" s="14" t="s">
        <v>272</v>
      </c>
    </row>
    <row r="81" spans="1:38" ht="15" customHeight="1" x14ac:dyDescent="0.2">
      <c r="A81" s="5" t="s">
        <v>273</v>
      </c>
      <c r="B81" s="6" t="s">
        <v>274</v>
      </c>
      <c r="C81" s="6" t="s">
        <v>25</v>
      </c>
      <c r="D81" s="7">
        <v>400000</v>
      </c>
      <c r="E81" s="7">
        <v>430000</v>
      </c>
      <c r="F81" s="7">
        <v>400000</v>
      </c>
      <c r="G81" s="7">
        <v>365000</v>
      </c>
      <c r="H81" s="7">
        <v>0</v>
      </c>
      <c r="I81" s="7">
        <v>0</v>
      </c>
      <c r="J81" s="8">
        <f t="shared" si="5"/>
        <v>1595000</v>
      </c>
      <c r="K81" s="6" t="s">
        <v>26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8">
        <f t="shared" si="6"/>
        <v>0</v>
      </c>
      <c r="S81" s="6" t="s">
        <v>27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8">
        <f t="shared" si="7"/>
        <v>0</v>
      </c>
      <c r="AA81" s="6" t="s">
        <v>27</v>
      </c>
      <c r="AB81" s="9" t="s">
        <v>28</v>
      </c>
      <c r="AC81" s="9" t="s">
        <v>28</v>
      </c>
      <c r="AD81" s="9" t="s">
        <v>28</v>
      </c>
      <c r="AE81" s="9" t="s">
        <v>28</v>
      </c>
      <c r="AF81" s="9" t="s">
        <v>28</v>
      </c>
      <c r="AG81" s="9" t="s">
        <v>28</v>
      </c>
      <c r="AH81" s="10" t="s">
        <v>28</v>
      </c>
      <c r="AI81" s="6" t="s">
        <v>27</v>
      </c>
      <c r="AJ81" s="11">
        <f t="shared" si="4"/>
        <v>1595000</v>
      </c>
      <c r="AK81" s="5" t="s">
        <v>275</v>
      </c>
      <c r="AL81" s="12" t="s">
        <v>276</v>
      </c>
    </row>
    <row r="82" spans="1:38" ht="15" customHeight="1" x14ac:dyDescent="0.2">
      <c r="A82" s="5" t="s">
        <v>277</v>
      </c>
      <c r="B82" s="6" t="s">
        <v>278</v>
      </c>
      <c r="C82" s="6" t="s">
        <v>25</v>
      </c>
      <c r="D82" s="7">
        <v>1585000</v>
      </c>
      <c r="E82" s="7">
        <v>914500</v>
      </c>
      <c r="F82" s="7">
        <v>1585000</v>
      </c>
      <c r="G82" s="7">
        <v>834500</v>
      </c>
      <c r="H82" s="7">
        <v>528000</v>
      </c>
      <c r="I82" s="7">
        <v>289000</v>
      </c>
      <c r="J82" s="8">
        <f t="shared" si="5"/>
        <v>5736000</v>
      </c>
      <c r="K82" s="6" t="s">
        <v>26</v>
      </c>
      <c r="L82" s="7">
        <v>1563500</v>
      </c>
      <c r="M82" s="7">
        <v>854500</v>
      </c>
      <c r="N82" s="7">
        <v>1563500</v>
      </c>
      <c r="O82" s="7">
        <v>834500</v>
      </c>
      <c r="P82" s="7">
        <v>0</v>
      </c>
      <c r="Q82" s="7">
        <v>0</v>
      </c>
      <c r="R82" s="8">
        <f t="shared" si="6"/>
        <v>4816000</v>
      </c>
      <c r="S82" s="6" t="s">
        <v>26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8">
        <f t="shared" si="7"/>
        <v>0</v>
      </c>
      <c r="AA82" s="6" t="s">
        <v>27</v>
      </c>
      <c r="AB82" s="9" t="s">
        <v>28</v>
      </c>
      <c r="AC82" s="9" t="s">
        <v>28</v>
      </c>
      <c r="AD82" s="9" t="s">
        <v>28</v>
      </c>
      <c r="AE82" s="9" t="s">
        <v>28</v>
      </c>
      <c r="AF82" s="9" t="s">
        <v>28</v>
      </c>
      <c r="AG82" s="9" t="s">
        <v>28</v>
      </c>
      <c r="AH82" s="10" t="s">
        <v>28</v>
      </c>
      <c r="AI82" s="6" t="s">
        <v>27</v>
      </c>
      <c r="AJ82" s="11">
        <f t="shared" si="4"/>
        <v>10552000</v>
      </c>
      <c r="AK82" s="5" t="s">
        <v>275</v>
      </c>
      <c r="AL82" s="12" t="s">
        <v>279</v>
      </c>
    </row>
    <row r="83" spans="1:38" ht="15" customHeight="1" x14ac:dyDescent="0.2">
      <c r="A83" s="5" t="s">
        <v>280</v>
      </c>
      <c r="B83" s="6" t="s">
        <v>281</v>
      </c>
      <c r="C83" s="6" t="s">
        <v>25</v>
      </c>
      <c r="D83" s="7">
        <v>600000</v>
      </c>
      <c r="E83" s="7">
        <v>400000</v>
      </c>
      <c r="F83" s="7">
        <v>800000</v>
      </c>
      <c r="G83" s="7">
        <v>500000</v>
      </c>
      <c r="H83" s="7">
        <v>900000</v>
      </c>
      <c r="I83" s="7">
        <v>600000</v>
      </c>
      <c r="J83" s="8">
        <f t="shared" si="5"/>
        <v>3800000</v>
      </c>
      <c r="K83" s="6" t="s">
        <v>26</v>
      </c>
      <c r="L83" s="7">
        <v>900000</v>
      </c>
      <c r="M83" s="7">
        <v>600000</v>
      </c>
      <c r="N83" s="7">
        <v>0</v>
      </c>
      <c r="O83" s="7">
        <v>0</v>
      </c>
      <c r="P83" s="7">
        <v>0</v>
      </c>
      <c r="Q83" s="7">
        <v>0</v>
      </c>
      <c r="R83" s="8">
        <f t="shared" si="6"/>
        <v>1500000</v>
      </c>
      <c r="S83" s="6" t="s">
        <v>26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8">
        <f t="shared" si="7"/>
        <v>0</v>
      </c>
      <c r="AA83" s="6" t="s">
        <v>27</v>
      </c>
      <c r="AB83" s="9" t="s">
        <v>28</v>
      </c>
      <c r="AC83" s="9" t="s">
        <v>28</v>
      </c>
      <c r="AD83" s="9" t="s">
        <v>28</v>
      </c>
      <c r="AE83" s="9" t="s">
        <v>28</v>
      </c>
      <c r="AF83" s="9" t="s">
        <v>28</v>
      </c>
      <c r="AG83" s="9" t="s">
        <v>28</v>
      </c>
      <c r="AH83" s="10" t="s">
        <v>28</v>
      </c>
      <c r="AI83" s="6" t="s">
        <v>27</v>
      </c>
      <c r="AJ83" s="11">
        <f t="shared" si="4"/>
        <v>5300000</v>
      </c>
      <c r="AK83" s="25" t="s">
        <v>282</v>
      </c>
      <c r="AL83" s="26" t="s">
        <v>283</v>
      </c>
    </row>
    <row r="84" spans="1:38" ht="15" customHeight="1" x14ac:dyDescent="0.2">
      <c r="A84" s="5" t="s">
        <v>284</v>
      </c>
      <c r="B84" s="6" t="s">
        <v>285</v>
      </c>
      <c r="C84" s="6" t="s">
        <v>25</v>
      </c>
      <c r="D84" s="7">
        <v>1455000</v>
      </c>
      <c r="E84" s="7">
        <v>1402000</v>
      </c>
      <c r="F84" s="7">
        <v>1455000</v>
      </c>
      <c r="G84" s="7">
        <v>1312000</v>
      </c>
      <c r="H84" s="7">
        <v>0</v>
      </c>
      <c r="I84" s="7">
        <v>0</v>
      </c>
      <c r="J84" s="8">
        <f t="shared" si="5"/>
        <v>5624000</v>
      </c>
      <c r="K84" s="6" t="s">
        <v>26</v>
      </c>
      <c r="L84" s="7">
        <v>1455000</v>
      </c>
      <c r="M84" s="7">
        <v>1322000</v>
      </c>
      <c r="N84" s="7">
        <v>1455000</v>
      </c>
      <c r="O84" s="7">
        <v>1488000</v>
      </c>
      <c r="P84" s="7">
        <v>0</v>
      </c>
      <c r="Q84" s="7">
        <v>0</v>
      </c>
      <c r="R84" s="8">
        <f t="shared" si="6"/>
        <v>5720000</v>
      </c>
      <c r="S84" s="6" t="s">
        <v>26</v>
      </c>
      <c r="T84" s="7">
        <v>1455000</v>
      </c>
      <c r="U84" s="7">
        <v>1298000</v>
      </c>
      <c r="V84" s="7">
        <v>1455000</v>
      </c>
      <c r="W84" s="7">
        <v>1488000</v>
      </c>
      <c r="X84" s="7">
        <v>0</v>
      </c>
      <c r="Y84" s="7">
        <v>0</v>
      </c>
      <c r="Z84" s="8">
        <f t="shared" si="7"/>
        <v>5696000</v>
      </c>
      <c r="AA84" s="6" t="s">
        <v>26</v>
      </c>
      <c r="AB84" s="9">
        <v>1455000</v>
      </c>
      <c r="AC84" s="9">
        <v>1298000</v>
      </c>
      <c r="AD84" s="9">
        <v>1455000</v>
      </c>
      <c r="AE84" s="9">
        <v>1568000</v>
      </c>
      <c r="AF84" s="9">
        <v>0</v>
      </c>
      <c r="AG84" s="9">
        <v>0</v>
      </c>
      <c r="AH84" s="27">
        <f>SUM(AB84:AG84)</f>
        <v>5776000</v>
      </c>
      <c r="AI84" s="6" t="s">
        <v>26</v>
      </c>
      <c r="AJ84" s="28">
        <f>J84+R84+Z84+AH84</f>
        <v>22816000</v>
      </c>
      <c r="AK84" s="5" t="s">
        <v>286</v>
      </c>
      <c r="AL84" s="29" t="s">
        <v>287</v>
      </c>
    </row>
    <row r="85" spans="1:38" ht="15" customHeight="1" x14ac:dyDescent="0.2">
      <c r="A85" s="5" t="s">
        <v>288</v>
      </c>
      <c r="B85" s="6" t="s">
        <v>289</v>
      </c>
      <c r="C85" s="6" t="s">
        <v>25</v>
      </c>
      <c r="D85" s="7">
        <v>430000</v>
      </c>
      <c r="E85" s="7">
        <v>767000</v>
      </c>
      <c r="F85" s="7">
        <v>430000</v>
      </c>
      <c r="G85" s="7">
        <v>677000</v>
      </c>
      <c r="H85" s="7">
        <v>0</v>
      </c>
      <c r="I85" s="7">
        <v>0</v>
      </c>
      <c r="J85" s="8">
        <f t="shared" si="5"/>
        <v>2304000</v>
      </c>
      <c r="K85" s="6" t="s">
        <v>26</v>
      </c>
      <c r="L85" s="7">
        <v>430000</v>
      </c>
      <c r="M85" s="7">
        <v>687000</v>
      </c>
      <c r="N85" s="7">
        <v>430000</v>
      </c>
      <c r="O85" s="7">
        <v>733000</v>
      </c>
      <c r="P85" s="7">
        <v>0</v>
      </c>
      <c r="Q85" s="7">
        <v>0</v>
      </c>
      <c r="R85" s="8">
        <f t="shared" si="6"/>
        <v>2280000</v>
      </c>
      <c r="S85" s="6" t="s">
        <v>26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8">
        <f t="shared" si="7"/>
        <v>0</v>
      </c>
      <c r="AA85" s="6" t="s">
        <v>27</v>
      </c>
      <c r="AB85" s="9" t="s">
        <v>28</v>
      </c>
      <c r="AC85" s="9" t="s">
        <v>28</v>
      </c>
      <c r="AD85" s="9" t="s">
        <v>28</v>
      </c>
      <c r="AE85" s="9" t="s">
        <v>28</v>
      </c>
      <c r="AF85" s="9" t="s">
        <v>28</v>
      </c>
      <c r="AG85" s="9" t="s">
        <v>28</v>
      </c>
      <c r="AH85" s="10" t="s">
        <v>28</v>
      </c>
      <c r="AI85" s="6" t="s">
        <v>27</v>
      </c>
      <c r="AJ85" s="13">
        <f>J85+R85+Z85</f>
        <v>4584000</v>
      </c>
      <c r="AK85" s="5" t="s">
        <v>290</v>
      </c>
      <c r="AL85" s="14" t="s">
        <v>291</v>
      </c>
    </row>
    <row r="86" spans="1:38" ht="15" customHeight="1" x14ac:dyDescent="0.2">
      <c r="A86" s="5" t="s">
        <v>292</v>
      </c>
      <c r="B86" s="6" t="s">
        <v>293</v>
      </c>
      <c r="C86" s="6" t="s">
        <v>25</v>
      </c>
      <c r="D86" s="7">
        <v>780000</v>
      </c>
      <c r="E86" s="7">
        <v>867000</v>
      </c>
      <c r="F86" s="7">
        <v>780000</v>
      </c>
      <c r="G86" s="7">
        <v>677000</v>
      </c>
      <c r="H86" s="7">
        <v>0</v>
      </c>
      <c r="I86" s="7">
        <v>0</v>
      </c>
      <c r="J86" s="8">
        <f t="shared" si="5"/>
        <v>3104000</v>
      </c>
      <c r="K86" s="6" t="s">
        <v>26</v>
      </c>
      <c r="L86" s="7">
        <v>780000</v>
      </c>
      <c r="M86" s="7">
        <v>787000</v>
      </c>
      <c r="N86" s="7">
        <v>780000</v>
      </c>
      <c r="O86" s="7">
        <v>853000</v>
      </c>
      <c r="P86" s="7">
        <v>0</v>
      </c>
      <c r="Q86" s="7">
        <v>0</v>
      </c>
      <c r="R86" s="8">
        <f t="shared" si="6"/>
        <v>3200000</v>
      </c>
      <c r="S86" s="6" t="s">
        <v>26</v>
      </c>
      <c r="T86" s="7">
        <v>780000</v>
      </c>
      <c r="U86" s="7">
        <v>763000</v>
      </c>
      <c r="V86" s="7">
        <v>780000</v>
      </c>
      <c r="W86" s="7">
        <v>733000</v>
      </c>
      <c r="X86" s="7">
        <v>0</v>
      </c>
      <c r="Y86" s="7">
        <v>0</v>
      </c>
      <c r="Z86" s="8">
        <f t="shared" si="7"/>
        <v>3056000</v>
      </c>
      <c r="AA86" s="6" t="s">
        <v>26</v>
      </c>
      <c r="AB86" s="9" t="s">
        <v>28</v>
      </c>
      <c r="AC86" s="9" t="s">
        <v>28</v>
      </c>
      <c r="AD86" s="9" t="s">
        <v>28</v>
      </c>
      <c r="AE86" s="9" t="s">
        <v>28</v>
      </c>
      <c r="AF86" s="9" t="s">
        <v>28</v>
      </c>
      <c r="AG86" s="9" t="s">
        <v>28</v>
      </c>
      <c r="AH86" s="10" t="s">
        <v>28</v>
      </c>
      <c r="AI86" s="6" t="s">
        <v>27</v>
      </c>
      <c r="AJ86" s="13">
        <f>J86+R86+Z86</f>
        <v>9360000</v>
      </c>
      <c r="AK86" s="5" t="s">
        <v>290</v>
      </c>
      <c r="AL86" s="14" t="s">
        <v>294</v>
      </c>
    </row>
    <row r="87" spans="1:38" ht="15" customHeight="1" x14ac:dyDescent="0.2">
      <c r="A87" s="5" t="s">
        <v>71</v>
      </c>
      <c r="B87" s="6" t="s">
        <v>295</v>
      </c>
      <c r="C87" s="6" t="s">
        <v>25</v>
      </c>
      <c r="D87" s="7">
        <v>1455000</v>
      </c>
      <c r="E87" s="7">
        <v>1402000</v>
      </c>
      <c r="F87" s="7">
        <v>1455000</v>
      </c>
      <c r="G87" s="7">
        <v>1312000</v>
      </c>
      <c r="H87" s="7">
        <v>0</v>
      </c>
      <c r="I87" s="7">
        <v>0</v>
      </c>
      <c r="J87" s="8">
        <f t="shared" si="5"/>
        <v>5624000</v>
      </c>
      <c r="K87" s="6" t="s">
        <v>26</v>
      </c>
      <c r="L87" s="7">
        <v>1455000</v>
      </c>
      <c r="M87" s="7">
        <v>1322000</v>
      </c>
      <c r="N87" s="7">
        <v>1455000</v>
      </c>
      <c r="O87" s="7">
        <v>1488000</v>
      </c>
      <c r="P87" s="7">
        <v>0</v>
      </c>
      <c r="Q87" s="7">
        <v>0</v>
      </c>
      <c r="R87" s="8">
        <f t="shared" si="6"/>
        <v>5720000</v>
      </c>
      <c r="S87" s="6" t="s">
        <v>26</v>
      </c>
      <c r="T87" s="7">
        <v>1455000</v>
      </c>
      <c r="U87" s="7">
        <v>1298000</v>
      </c>
      <c r="V87" s="7">
        <v>1455000</v>
      </c>
      <c r="W87" s="7">
        <v>1488000</v>
      </c>
      <c r="X87" s="7">
        <v>0</v>
      </c>
      <c r="Y87" s="7">
        <v>0</v>
      </c>
      <c r="Z87" s="8">
        <f t="shared" si="7"/>
        <v>5696000</v>
      </c>
      <c r="AA87" s="6" t="s">
        <v>26</v>
      </c>
      <c r="AB87" s="9">
        <v>1455000</v>
      </c>
      <c r="AC87" s="9">
        <v>1298000</v>
      </c>
      <c r="AD87" s="9">
        <v>1455000</v>
      </c>
      <c r="AE87" s="9">
        <v>1568000</v>
      </c>
      <c r="AF87" s="9">
        <v>0</v>
      </c>
      <c r="AG87" s="9">
        <v>0</v>
      </c>
      <c r="AH87" s="27">
        <f>SUM(AB87:AG87)</f>
        <v>5776000</v>
      </c>
      <c r="AI87" s="6" t="s">
        <v>26</v>
      </c>
      <c r="AJ87" s="28">
        <f>J87+R87+Z87+AH87</f>
        <v>22816000</v>
      </c>
      <c r="AK87" s="5" t="s">
        <v>296</v>
      </c>
      <c r="AL87" s="29" t="s">
        <v>297</v>
      </c>
    </row>
    <row r="88" spans="1:38" ht="15" customHeight="1" x14ac:dyDescent="0.2">
      <c r="A88" s="5" t="s">
        <v>298</v>
      </c>
      <c r="B88" s="6" t="s">
        <v>299</v>
      </c>
      <c r="C88" s="6" t="s">
        <v>25</v>
      </c>
      <c r="D88" s="7">
        <v>730000</v>
      </c>
      <c r="E88" s="7">
        <v>985250</v>
      </c>
      <c r="F88" s="7">
        <v>730000</v>
      </c>
      <c r="G88" s="7">
        <v>895250</v>
      </c>
      <c r="H88" s="7">
        <v>0</v>
      </c>
      <c r="I88" s="7">
        <v>0</v>
      </c>
      <c r="J88" s="8">
        <f t="shared" si="5"/>
        <v>3340500</v>
      </c>
      <c r="K88" s="6" t="s">
        <v>26</v>
      </c>
      <c r="L88" s="7">
        <v>730000</v>
      </c>
      <c r="M88" s="7">
        <v>905250</v>
      </c>
      <c r="N88" s="7">
        <v>730000</v>
      </c>
      <c r="O88" s="7">
        <v>1071250</v>
      </c>
      <c r="P88" s="7">
        <v>0</v>
      </c>
      <c r="Q88" s="7">
        <v>0</v>
      </c>
      <c r="R88" s="8">
        <f t="shared" si="6"/>
        <v>3436500</v>
      </c>
      <c r="S88" s="6" t="s">
        <v>26</v>
      </c>
      <c r="T88" s="7">
        <v>730000</v>
      </c>
      <c r="U88" s="7">
        <v>881250</v>
      </c>
      <c r="V88" s="7">
        <v>730000</v>
      </c>
      <c r="W88" s="7">
        <v>951250</v>
      </c>
      <c r="X88" s="7">
        <v>0</v>
      </c>
      <c r="Y88" s="7">
        <v>0</v>
      </c>
      <c r="Z88" s="8">
        <f t="shared" si="7"/>
        <v>3292500</v>
      </c>
      <c r="AA88" s="6" t="s">
        <v>26</v>
      </c>
      <c r="AB88" s="9" t="s">
        <v>28</v>
      </c>
      <c r="AC88" s="9" t="s">
        <v>28</v>
      </c>
      <c r="AD88" s="9" t="s">
        <v>28</v>
      </c>
      <c r="AE88" s="9" t="s">
        <v>28</v>
      </c>
      <c r="AF88" s="9" t="s">
        <v>28</v>
      </c>
      <c r="AG88" s="9" t="s">
        <v>28</v>
      </c>
      <c r="AH88" s="10" t="s">
        <v>28</v>
      </c>
      <c r="AI88" s="6" t="s">
        <v>27</v>
      </c>
      <c r="AJ88" s="13">
        <f t="shared" ref="AJ88:AJ132" si="8">J88+R88+Z88</f>
        <v>10069500</v>
      </c>
      <c r="AK88" s="5" t="s">
        <v>290</v>
      </c>
      <c r="AL88" s="14" t="s">
        <v>300</v>
      </c>
    </row>
    <row r="89" spans="1:38" ht="15" customHeight="1" x14ac:dyDescent="0.2">
      <c r="A89" s="5" t="s">
        <v>301</v>
      </c>
      <c r="B89" s="6" t="s">
        <v>302</v>
      </c>
      <c r="C89" s="6" t="s">
        <v>25</v>
      </c>
      <c r="D89" s="7">
        <v>780000</v>
      </c>
      <c r="E89" s="7">
        <v>867000</v>
      </c>
      <c r="F89" s="7">
        <v>780000</v>
      </c>
      <c r="G89" s="7">
        <v>677000</v>
      </c>
      <c r="H89" s="7">
        <v>0</v>
      </c>
      <c r="I89" s="7">
        <v>0</v>
      </c>
      <c r="J89" s="8">
        <f t="shared" si="5"/>
        <v>3104000</v>
      </c>
      <c r="K89" s="6" t="s">
        <v>26</v>
      </c>
      <c r="L89" s="7">
        <v>780000</v>
      </c>
      <c r="M89" s="7">
        <v>787000</v>
      </c>
      <c r="N89" s="7">
        <v>780000</v>
      </c>
      <c r="O89" s="7">
        <v>853000</v>
      </c>
      <c r="P89" s="7">
        <v>0</v>
      </c>
      <c r="Q89" s="7">
        <v>0</v>
      </c>
      <c r="R89" s="8">
        <f t="shared" si="6"/>
        <v>3200000</v>
      </c>
      <c r="S89" s="6" t="s">
        <v>26</v>
      </c>
      <c r="T89" s="7">
        <v>780000</v>
      </c>
      <c r="U89" s="7">
        <v>763000</v>
      </c>
      <c r="V89" s="7">
        <v>780000</v>
      </c>
      <c r="W89" s="7">
        <v>733000</v>
      </c>
      <c r="X89" s="7">
        <v>0</v>
      </c>
      <c r="Y89" s="7">
        <v>0</v>
      </c>
      <c r="Z89" s="8">
        <f t="shared" si="7"/>
        <v>3056000</v>
      </c>
      <c r="AA89" s="6" t="s">
        <v>26</v>
      </c>
      <c r="AB89" s="9" t="s">
        <v>28</v>
      </c>
      <c r="AC89" s="9" t="s">
        <v>28</v>
      </c>
      <c r="AD89" s="9" t="s">
        <v>28</v>
      </c>
      <c r="AE89" s="9" t="s">
        <v>28</v>
      </c>
      <c r="AF89" s="9" t="s">
        <v>28</v>
      </c>
      <c r="AG89" s="9" t="s">
        <v>28</v>
      </c>
      <c r="AH89" s="10" t="s">
        <v>28</v>
      </c>
      <c r="AI89" s="6" t="s">
        <v>27</v>
      </c>
      <c r="AJ89" s="13">
        <f t="shared" si="8"/>
        <v>9360000</v>
      </c>
      <c r="AK89" s="5" t="s">
        <v>290</v>
      </c>
      <c r="AL89" s="14" t="s">
        <v>303</v>
      </c>
    </row>
    <row r="90" spans="1:38" ht="15" customHeight="1" x14ac:dyDescent="0.2">
      <c r="A90" s="5" t="s">
        <v>304</v>
      </c>
      <c r="B90" s="6" t="s">
        <v>305</v>
      </c>
      <c r="C90" s="6" t="s">
        <v>25</v>
      </c>
      <c r="D90" s="7">
        <v>630000</v>
      </c>
      <c r="E90" s="7">
        <v>767000</v>
      </c>
      <c r="F90" s="7">
        <v>630000</v>
      </c>
      <c r="G90" s="7">
        <v>677000</v>
      </c>
      <c r="H90" s="7">
        <v>0</v>
      </c>
      <c r="I90" s="7">
        <v>0</v>
      </c>
      <c r="J90" s="8">
        <f t="shared" si="5"/>
        <v>2704000</v>
      </c>
      <c r="K90" s="6" t="s">
        <v>26</v>
      </c>
      <c r="L90" s="7">
        <v>630000</v>
      </c>
      <c r="M90" s="7">
        <v>687000</v>
      </c>
      <c r="N90" s="7">
        <v>630000</v>
      </c>
      <c r="O90" s="7">
        <v>653000</v>
      </c>
      <c r="P90" s="7">
        <v>0</v>
      </c>
      <c r="Q90" s="7">
        <v>0</v>
      </c>
      <c r="R90" s="8">
        <f t="shared" si="6"/>
        <v>2600000</v>
      </c>
      <c r="S90" s="6" t="s">
        <v>26</v>
      </c>
      <c r="T90" s="7">
        <v>630000</v>
      </c>
      <c r="U90" s="7">
        <v>663000</v>
      </c>
      <c r="V90" s="7">
        <v>630000</v>
      </c>
      <c r="W90" s="7">
        <v>933000</v>
      </c>
      <c r="X90" s="7">
        <v>0</v>
      </c>
      <c r="Y90" s="7">
        <v>0</v>
      </c>
      <c r="Z90" s="8">
        <f t="shared" si="7"/>
        <v>2856000</v>
      </c>
      <c r="AA90" s="6" t="s">
        <v>26</v>
      </c>
      <c r="AB90" s="9" t="s">
        <v>28</v>
      </c>
      <c r="AC90" s="9" t="s">
        <v>28</v>
      </c>
      <c r="AD90" s="9" t="s">
        <v>28</v>
      </c>
      <c r="AE90" s="9" t="s">
        <v>28</v>
      </c>
      <c r="AF90" s="9" t="s">
        <v>28</v>
      </c>
      <c r="AG90" s="9" t="s">
        <v>28</v>
      </c>
      <c r="AH90" s="10" t="s">
        <v>28</v>
      </c>
      <c r="AI90" s="6" t="s">
        <v>27</v>
      </c>
      <c r="AJ90" s="13">
        <f t="shared" si="8"/>
        <v>8160000</v>
      </c>
      <c r="AK90" s="5" t="s">
        <v>290</v>
      </c>
      <c r="AL90" s="14" t="s">
        <v>306</v>
      </c>
    </row>
    <row r="91" spans="1:38" ht="15" customHeight="1" x14ac:dyDescent="0.2">
      <c r="A91" s="5" t="s">
        <v>307</v>
      </c>
      <c r="B91" s="6" t="s">
        <v>308</v>
      </c>
      <c r="C91" s="6" t="s">
        <v>25</v>
      </c>
      <c r="D91" s="7">
        <v>780000</v>
      </c>
      <c r="E91" s="7">
        <v>867000</v>
      </c>
      <c r="F91" s="7">
        <v>780000</v>
      </c>
      <c r="G91" s="7">
        <v>677000</v>
      </c>
      <c r="H91" s="7">
        <v>0</v>
      </c>
      <c r="I91" s="7">
        <v>0</v>
      </c>
      <c r="J91" s="8">
        <f t="shared" si="5"/>
        <v>3104000</v>
      </c>
      <c r="K91" s="6" t="s">
        <v>26</v>
      </c>
      <c r="L91" s="7">
        <v>780000</v>
      </c>
      <c r="M91" s="7">
        <v>787000</v>
      </c>
      <c r="N91" s="7">
        <v>780000</v>
      </c>
      <c r="O91" s="7">
        <v>853000</v>
      </c>
      <c r="P91" s="7">
        <v>0</v>
      </c>
      <c r="Q91" s="7">
        <v>0</v>
      </c>
      <c r="R91" s="8">
        <f t="shared" si="6"/>
        <v>3200000</v>
      </c>
      <c r="S91" s="6" t="s">
        <v>26</v>
      </c>
      <c r="T91" s="7">
        <v>780000</v>
      </c>
      <c r="U91" s="7">
        <v>763000</v>
      </c>
      <c r="V91" s="7">
        <v>780000</v>
      </c>
      <c r="W91" s="7">
        <v>733000</v>
      </c>
      <c r="X91" s="7">
        <v>0</v>
      </c>
      <c r="Y91" s="7">
        <v>0</v>
      </c>
      <c r="Z91" s="8">
        <f t="shared" si="7"/>
        <v>3056000</v>
      </c>
      <c r="AA91" s="6" t="s">
        <v>26</v>
      </c>
      <c r="AB91" s="9" t="s">
        <v>28</v>
      </c>
      <c r="AC91" s="9" t="s">
        <v>28</v>
      </c>
      <c r="AD91" s="9" t="s">
        <v>28</v>
      </c>
      <c r="AE91" s="9" t="s">
        <v>28</v>
      </c>
      <c r="AF91" s="9" t="s">
        <v>28</v>
      </c>
      <c r="AG91" s="9" t="s">
        <v>28</v>
      </c>
      <c r="AH91" s="10" t="s">
        <v>28</v>
      </c>
      <c r="AI91" s="6" t="s">
        <v>27</v>
      </c>
      <c r="AJ91" s="13">
        <f t="shared" si="8"/>
        <v>9360000</v>
      </c>
      <c r="AK91" s="5" t="s">
        <v>290</v>
      </c>
      <c r="AL91" s="14" t="s">
        <v>309</v>
      </c>
    </row>
    <row r="92" spans="1:38" ht="20.25" customHeight="1" x14ac:dyDescent="0.2">
      <c r="A92" s="5" t="s">
        <v>43</v>
      </c>
      <c r="B92" s="6" t="s">
        <v>310</v>
      </c>
      <c r="C92" s="6" t="s">
        <v>25</v>
      </c>
      <c r="D92" s="7">
        <v>400000</v>
      </c>
      <c r="E92" s="7">
        <v>430000</v>
      </c>
      <c r="F92" s="7">
        <v>400000</v>
      </c>
      <c r="G92" s="7">
        <v>365000</v>
      </c>
      <c r="H92" s="7">
        <v>0</v>
      </c>
      <c r="I92" s="7">
        <v>0</v>
      </c>
      <c r="J92" s="8">
        <f t="shared" si="5"/>
        <v>1595000</v>
      </c>
      <c r="K92" s="6" t="s">
        <v>26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8">
        <f t="shared" si="6"/>
        <v>0</v>
      </c>
      <c r="S92" s="6" t="s">
        <v>27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8">
        <f t="shared" si="7"/>
        <v>0</v>
      </c>
      <c r="AA92" s="6" t="s">
        <v>27</v>
      </c>
      <c r="AB92" s="9" t="s">
        <v>28</v>
      </c>
      <c r="AC92" s="9" t="s">
        <v>28</v>
      </c>
      <c r="AD92" s="9" t="s">
        <v>28</v>
      </c>
      <c r="AE92" s="9" t="s">
        <v>28</v>
      </c>
      <c r="AF92" s="9" t="s">
        <v>28</v>
      </c>
      <c r="AG92" s="9" t="s">
        <v>28</v>
      </c>
      <c r="AH92" s="10" t="s">
        <v>28</v>
      </c>
      <c r="AI92" s="6" t="s">
        <v>27</v>
      </c>
      <c r="AJ92" s="11">
        <f t="shared" si="8"/>
        <v>1595000</v>
      </c>
      <c r="AK92" s="25" t="s">
        <v>311</v>
      </c>
      <c r="AL92" s="26" t="s">
        <v>312</v>
      </c>
    </row>
    <row r="93" spans="1:38" ht="15" customHeight="1" x14ac:dyDescent="0.2">
      <c r="A93" s="5" t="s">
        <v>313</v>
      </c>
      <c r="B93" s="6" t="s">
        <v>314</v>
      </c>
      <c r="C93" s="6" t="s">
        <v>25</v>
      </c>
      <c r="D93" s="7">
        <v>430000</v>
      </c>
      <c r="E93" s="7">
        <v>767000</v>
      </c>
      <c r="F93" s="7">
        <v>430000</v>
      </c>
      <c r="G93" s="7">
        <v>677000</v>
      </c>
      <c r="H93" s="7">
        <v>0</v>
      </c>
      <c r="I93" s="7">
        <v>0</v>
      </c>
      <c r="J93" s="8">
        <f t="shared" si="5"/>
        <v>2304000</v>
      </c>
      <c r="K93" s="6" t="s">
        <v>26</v>
      </c>
      <c r="L93" s="7">
        <v>430000</v>
      </c>
      <c r="M93" s="7">
        <v>687000</v>
      </c>
      <c r="N93" s="7">
        <v>430000</v>
      </c>
      <c r="O93" s="7">
        <v>733000</v>
      </c>
      <c r="P93" s="7">
        <v>0</v>
      </c>
      <c r="Q93" s="7">
        <v>0</v>
      </c>
      <c r="R93" s="8">
        <f t="shared" si="6"/>
        <v>2280000</v>
      </c>
      <c r="S93" s="6" t="s">
        <v>26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8">
        <f t="shared" si="7"/>
        <v>0</v>
      </c>
      <c r="AA93" s="6" t="s">
        <v>27</v>
      </c>
      <c r="AB93" s="9" t="s">
        <v>28</v>
      </c>
      <c r="AC93" s="9" t="s">
        <v>28</v>
      </c>
      <c r="AD93" s="9" t="s">
        <v>28</v>
      </c>
      <c r="AE93" s="9" t="s">
        <v>28</v>
      </c>
      <c r="AF93" s="9" t="s">
        <v>28</v>
      </c>
      <c r="AG93" s="9" t="s">
        <v>28</v>
      </c>
      <c r="AH93" s="10" t="s">
        <v>28</v>
      </c>
      <c r="AI93" s="6" t="s">
        <v>27</v>
      </c>
      <c r="AJ93" s="13">
        <f t="shared" si="8"/>
        <v>4584000</v>
      </c>
      <c r="AK93" s="5" t="s">
        <v>290</v>
      </c>
      <c r="AL93" s="14" t="s">
        <v>315</v>
      </c>
    </row>
    <row r="94" spans="1:38" ht="15" customHeight="1" x14ac:dyDescent="0.2">
      <c r="A94" s="5" t="s">
        <v>316</v>
      </c>
      <c r="B94" s="6" t="s">
        <v>317</v>
      </c>
      <c r="C94" s="6" t="s">
        <v>25</v>
      </c>
      <c r="D94" s="7">
        <v>430000</v>
      </c>
      <c r="E94" s="7">
        <v>767000</v>
      </c>
      <c r="F94" s="7">
        <v>430000</v>
      </c>
      <c r="G94" s="7">
        <v>677000</v>
      </c>
      <c r="H94" s="7">
        <v>0</v>
      </c>
      <c r="I94" s="7">
        <v>0</v>
      </c>
      <c r="J94" s="8">
        <f t="shared" si="5"/>
        <v>2304000</v>
      </c>
      <c r="K94" s="6" t="s">
        <v>26</v>
      </c>
      <c r="L94" s="7">
        <v>430000</v>
      </c>
      <c r="M94" s="7">
        <v>687000</v>
      </c>
      <c r="N94" s="7">
        <v>430000</v>
      </c>
      <c r="O94" s="7">
        <v>733000</v>
      </c>
      <c r="P94" s="7">
        <v>0</v>
      </c>
      <c r="Q94" s="7">
        <v>0</v>
      </c>
      <c r="R94" s="8">
        <f t="shared" si="6"/>
        <v>2280000</v>
      </c>
      <c r="S94" s="6" t="s">
        <v>26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8">
        <f t="shared" si="7"/>
        <v>0</v>
      </c>
      <c r="AA94" s="6" t="s">
        <v>27</v>
      </c>
      <c r="AB94" s="9" t="s">
        <v>28</v>
      </c>
      <c r="AC94" s="9" t="s">
        <v>28</v>
      </c>
      <c r="AD94" s="9" t="s">
        <v>28</v>
      </c>
      <c r="AE94" s="9" t="s">
        <v>28</v>
      </c>
      <c r="AF94" s="9" t="s">
        <v>28</v>
      </c>
      <c r="AG94" s="9" t="s">
        <v>28</v>
      </c>
      <c r="AH94" s="10" t="s">
        <v>28</v>
      </c>
      <c r="AI94" s="6" t="s">
        <v>27</v>
      </c>
      <c r="AJ94" s="13">
        <f t="shared" si="8"/>
        <v>4584000</v>
      </c>
      <c r="AK94" s="5" t="s">
        <v>290</v>
      </c>
      <c r="AL94" s="14" t="s">
        <v>318</v>
      </c>
    </row>
    <row r="95" spans="1:38" ht="15" customHeight="1" x14ac:dyDescent="0.2">
      <c r="A95" s="5" t="s">
        <v>319</v>
      </c>
      <c r="B95" s="6" t="s">
        <v>320</v>
      </c>
      <c r="C95" s="6" t="s">
        <v>25</v>
      </c>
      <c r="D95" s="7">
        <v>400000</v>
      </c>
      <c r="E95" s="7">
        <v>430000</v>
      </c>
      <c r="F95" s="7">
        <v>400000</v>
      </c>
      <c r="G95" s="7">
        <v>365000</v>
      </c>
      <c r="H95" s="7">
        <v>0</v>
      </c>
      <c r="I95" s="7">
        <v>0</v>
      </c>
      <c r="J95" s="8">
        <f t="shared" si="5"/>
        <v>1595000</v>
      </c>
      <c r="K95" s="6" t="s">
        <v>26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8">
        <f t="shared" si="6"/>
        <v>0</v>
      </c>
      <c r="S95" s="6" t="s">
        <v>27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8">
        <f t="shared" si="7"/>
        <v>0</v>
      </c>
      <c r="AA95" s="6" t="s">
        <v>27</v>
      </c>
      <c r="AB95" s="9" t="s">
        <v>28</v>
      </c>
      <c r="AC95" s="9" t="s">
        <v>28</v>
      </c>
      <c r="AD95" s="9" t="s">
        <v>28</v>
      </c>
      <c r="AE95" s="9" t="s">
        <v>28</v>
      </c>
      <c r="AF95" s="9" t="s">
        <v>28</v>
      </c>
      <c r="AG95" s="9" t="s">
        <v>28</v>
      </c>
      <c r="AH95" s="10" t="s">
        <v>28</v>
      </c>
      <c r="AI95" s="6" t="s">
        <v>27</v>
      </c>
      <c r="AJ95" s="11">
        <f t="shared" si="8"/>
        <v>1595000</v>
      </c>
      <c r="AK95" s="5" t="s">
        <v>321</v>
      </c>
      <c r="AL95" s="12" t="s">
        <v>322</v>
      </c>
    </row>
    <row r="96" spans="1:38" ht="15" customHeight="1" x14ac:dyDescent="0.2">
      <c r="A96" s="5" t="s">
        <v>323</v>
      </c>
      <c r="B96" s="6" t="s">
        <v>324</v>
      </c>
      <c r="C96" s="6" t="s">
        <v>25</v>
      </c>
      <c r="D96" s="7">
        <v>430000</v>
      </c>
      <c r="E96" s="7">
        <v>767000</v>
      </c>
      <c r="F96" s="7">
        <v>430000</v>
      </c>
      <c r="G96" s="7">
        <v>677000</v>
      </c>
      <c r="H96" s="7">
        <v>0</v>
      </c>
      <c r="I96" s="7">
        <v>0</v>
      </c>
      <c r="J96" s="8">
        <f t="shared" si="5"/>
        <v>2304000</v>
      </c>
      <c r="K96" s="6" t="s">
        <v>26</v>
      </c>
      <c r="L96" s="7">
        <v>430000</v>
      </c>
      <c r="M96" s="7">
        <v>687000</v>
      </c>
      <c r="N96" s="7">
        <v>430000</v>
      </c>
      <c r="O96" s="7">
        <v>733000</v>
      </c>
      <c r="P96" s="7">
        <v>0</v>
      </c>
      <c r="Q96" s="7">
        <v>0</v>
      </c>
      <c r="R96" s="8">
        <f t="shared" si="6"/>
        <v>2280000</v>
      </c>
      <c r="S96" s="6" t="s">
        <v>26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8">
        <f t="shared" si="7"/>
        <v>0</v>
      </c>
      <c r="AA96" s="6" t="s">
        <v>27</v>
      </c>
      <c r="AB96" s="9" t="s">
        <v>28</v>
      </c>
      <c r="AC96" s="9" t="s">
        <v>28</v>
      </c>
      <c r="AD96" s="9" t="s">
        <v>28</v>
      </c>
      <c r="AE96" s="9" t="s">
        <v>28</v>
      </c>
      <c r="AF96" s="9" t="s">
        <v>28</v>
      </c>
      <c r="AG96" s="9" t="s">
        <v>28</v>
      </c>
      <c r="AH96" s="10" t="s">
        <v>28</v>
      </c>
      <c r="AI96" s="6" t="s">
        <v>27</v>
      </c>
      <c r="AJ96" s="13">
        <f t="shared" si="8"/>
        <v>4584000</v>
      </c>
      <c r="AK96" s="5" t="s">
        <v>290</v>
      </c>
      <c r="AL96" s="14" t="s">
        <v>325</v>
      </c>
    </row>
    <row r="97" spans="1:38" ht="15" customHeight="1" x14ac:dyDescent="0.2">
      <c r="A97" s="5" t="s">
        <v>326</v>
      </c>
      <c r="B97" s="6" t="s">
        <v>327</v>
      </c>
      <c r="C97" s="6" t="s">
        <v>25</v>
      </c>
      <c r="D97" s="7">
        <v>430000</v>
      </c>
      <c r="E97" s="7">
        <v>767000</v>
      </c>
      <c r="F97" s="7">
        <v>430000</v>
      </c>
      <c r="G97" s="7">
        <v>677000</v>
      </c>
      <c r="H97" s="7">
        <v>0</v>
      </c>
      <c r="I97" s="7">
        <v>0</v>
      </c>
      <c r="J97" s="8">
        <f t="shared" si="5"/>
        <v>2304000</v>
      </c>
      <c r="K97" s="6" t="s">
        <v>26</v>
      </c>
      <c r="L97" s="7">
        <v>430000</v>
      </c>
      <c r="M97" s="7">
        <v>687000</v>
      </c>
      <c r="N97" s="7">
        <v>430000</v>
      </c>
      <c r="O97" s="7">
        <v>733000</v>
      </c>
      <c r="P97" s="7">
        <v>0</v>
      </c>
      <c r="Q97" s="7">
        <v>0</v>
      </c>
      <c r="R97" s="8">
        <f t="shared" si="6"/>
        <v>2280000</v>
      </c>
      <c r="S97" s="6" t="s">
        <v>26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8">
        <f t="shared" si="7"/>
        <v>0</v>
      </c>
      <c r="AA97" s="6" t="s">
        <v>27</v>
      </c>
      <c r="AB97" s="9" t="s">
        <v>28</v>
      </c>
      <c r="AC97" s="9" t="s">
        <v>28</v>
      </c>
      <c r="AD97" s="9" t="s">
        <v>28</v>
      </c>
      <c r="AE97" s="9" t="s">
        <v>28</v>
      </c>
      <c r="AF97" s="9" t="s">
        <v>28</v>
      </c>
      <c r="AG97" s="9" t="s">
        <v>28</v>
      </c>
      <c r="AH97" s="10" t="s">
        <v>28</v>
      </c>
      <c r="AI97" s="6" t="s">
        <v>27</v>
      </c>
      <c r="AJ97" s="13">
        <f t="shared" si="8"/>
        <v>4584000</v>
      </c>
      <c r="AK97" s="5" t="s">
        <v>290</v>
      </c>
      <c r="AL97" s="14" t="s">
        <v>328</v>
      </c>
    </row>
    <row r="98" spans="1:38" ht="15" customHeight="1" x14ac:dyDescent="0.2">
      <c r="A98" s="5" t="s">
        <v>329</v>
      </c>
      <c r="B98" s="6" t="s">
        <v>330</v>
      </c>
      <c r="C98" s="6" t="s">
        <v>25</v>
      </c>
      <c r="D98" s="7">
        <v>430000</v>
      </c>
      <c r="E98" s="7">
        <v>767000</v>
      </c>
      <c r="F98" s="7">
        <v>430000</v>
      </c>
      <c r="G98" s="7">
        <v>677000</v>
      </c>
      <c r="H98" s="7">
        <v>0</v>
      </c>
      <c r="I98" s="7">
        <v>0</v>
      </c>
      <c r="J98" s="8">
        <f t="shared" si="5"/>
        <v>2304000</v>
      </c>
      <c r="K98" s="6" t="s">
        <v>26</v>
      </c>
      <c r="L98" s="7">
        <v>430000</v>
      </c>
      <c r="M98" s="7">
        <v>687000</v>
      </c>
      <c r="N98" s="7">
        <v>430000</v>
      </c>
      <c r="O98" s="7">
        <v>733000</v>
      </c>
      <c r="P98" s="7">
        <v>0</v>
      </c>
      <c r="Q98" s="7">
        <v>0</v>
      </c>
      <c r="R98" s="8">
        <f t="shared" si="6"/>
        <v>2280000</v>
      </c>
      <c r="S98" s="6" t="s">
        <v>26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8">
        <f t="shared" si="7"/>
        <v>0</v>
      </c>
      <c r="AA98" s="6" t="s">
        <v>27</v>
      </c>
      <c r="AB98" s="9" t="s">
        <v>28</v>
      </c>
      <c r="AC98" s="9" t="s">
        <v>28</v>
      </c>
      <c r="AD98" s="9" t="s">
        <v>28</v>
      </c>
      <c r="AE98" s="9" t="s">
        <v>28</v>
      </c>
      <c r="AF98" s="9" t="s">
        <v>28</v>
      </c>
      <c r="AG98" s="9" t="s">
        <v>28</v>
      </c>
      <c r="AH98" s="10" t="s">
        <v>28</v>
      </c>
      <c r="AI98" s="6" t="s">
        <v>27</v>
      </c>
      <c r="AJ98" s="13">
        <f t="shared" si="8"/>
        <v>4584000</v>
      </c>
      <c r="AK98" s="5" t="s">
        <v>290</v>
      </c>
      <c r="AL98" s="14" t="s">
        <v>331</v>
      </c>
    </row>
    <row r="99" spans="1:38" ht="15" customHeight="1" x14ac:dyDescent="0.2">
      <c r="A99" s="5" t="s">
        <v>332</v>
      </c>
      <c r="B99" s="6" t="s">
        <v>333</v>
      </c>
      <c r="C99" s="6" t="s">
        <v>25</v>
      </c>
      <c r="D99" s="7">
        <v>430000</v>
      </c>
      <c r="E99" s="7">
        <v>767000</v>
      </c>
      <c r="F99" s="7">
        <v>430000</v>
      </c>
      <c r="G99" s="7">
        <v>677000</v>
      </c>
      <c r="H99" s="7">
        <v>0</v>
      </c>
      <c r="I99" s="7">
        <v>0</v>
      </c>
      <c r="J99" s="8">
        <f t="shared" si="5"/>
        <v>2304000</v>
      </c>
      <c r="K99" s="6" t="s">
        <v>26</v>
      </c>
      <c r="L99" s="7">
        <v>430000</v>
      </c>
      <c r="M99" s="7">
        <v>687000</v>
      </c>
      <c r="N99" s="7">
        <v>430000</v>
      </c>
      <c r="O99" s="7">
        <v>733000</v>
      </c>
      <c r="P99" s="7">
        <v>0</v>
      </c>
      <c r="Q99" s="7">
        <v>0</v>
      </c>
      <c r="R99" s="8">
        <f t="shared" si="6"/>
        <v>2280000</v>
      </c>
      <c r="S99" s="6" t="s">
        <v>26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8">
        <f t="shared" si="7"/>
        <v>0</v>
      </c>
      <c r="AA99" s="6" t="s">
        <v>27</v>
      </c>
      <c r="AB99" s="9" t="s">
        <v>28</v>
      </c>
      <c r="AC99" s="9" t="s">
        <v>28</v>
      </c>
      <c r="AD99" s="9" t="s">
        <v>28</v>
      </c>
      <c r="AE99" s="9" t="s">
        <v>28</v>
      </c>
      <c r="AF99" s="9" t="s">
        <v>28</v>
      </c>
      <c r="AG99" s="9" t="s">
        <v>28</v>
      </c>
      <c r="AH99" s="10" t="s">
        <v>28</v>
      </c>
      <c r="AI99" s="6" t="s">
        <v>27</v>
      </c>
      <c r="AJ99" s="13">
        <f t="shared" si="8"/>
        <v>4584000</v>
      </c>
      <c r="AK99" s="5" t="s">
        <v>290</v>
      </c>
      <c r="AL99" s="14" t="s">
        <v>334</v>
      </c>
    </row>
    <row r="100" spans="1:38" ht="20.25" customHeight="1" x14ac:dyDescent="0.2">
      <c r="A100" s="5" t="s">
        <v>335</v>
      </c>
      <c r="B100" s="6" t="s">
        <v>336</v>
      </c>
      <c r="C100" s="6" t="s">
        <v>25</v>
      </c>
      <c r="D100" s="7">
        <v>430000</v>
      </c>
      <c r="E100" s="7">
        <v>767000</v>
      </c>
      <c r="F100" s="7">
        <v>430000</v>
      </c>
      <c r="G100" s="7">
        <v>677000</v>
      </c>
      <c r="H100" s="7">
        <v>0</v>
      </c>
      <c r="I100" s="7">
        <v>0</v>
      </c>
      <c r="J100" s="8">
        <f t="shared" si="5"/>
        <v>2304000</v>
      </c>
      <c r="K100" s="6" t="s">
        <v>26</v>
      </c>
      <c r="L100" s="7">
        <v>430000</v>
      </c>
      <c r="M100" s="7">
        <v>687000</v>
      </c>
      <c r="N100" s="7">
        <v>430000</v>
      </c>
      <c r="O100" s="7">
        <v>733000</v>
      </c>
      <c r="P100" s="7">
        <v>0</v>
      </c>
      <c r="Q100" s="7">
        <v>0</v>
      </c>
      <c r="R100" s="8">
        <f t="shared" si="6"/>
        <v>2280000</v>
      </c>
      <c r="S100" s="6" t="s">
        <v>26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8">
        <f t="shared" si="7"/>
        <v>0</v>
      </c>
      <c r="AA100" s="6" t="s">
        <v>27</v>
      </c>
      <c r="AB100" s="9" t="s">
        <v>28</v>
      </c>
      <c r="AC100" s="9" t="s">
        <v>28</v>
      </c>
      <c r="AD100" s="9" t="s">
        <v>28</v>
      </c>
      <c r="AE100" s="9" t="s">
        <v>28</v>
      </c>
      <c r="AF100" s="9" t="s">
        <v>28</v>
      </c>
      <c r="AG100" s="9" t="s">
        <v>28</v>
      </c>
      <c r="AH100" s="10" t="s">
        <v>28</v>
      </c>
      <c r="AI100" s="6" t="s">
        <v>27</v>
      </c>
      <c r="AJ100" s="13">
        <f t="shared" si="8"/>
        <v>4584000</v>
      </c>
      <c r="AK100" s="25" t="s">
        <v>337</v>
      </c>
      <c r="AL100" s="14" t="s">
        <v>338</v>
      </c>
    </row>
    <row r="101" spans="1:38" ht="15" customHeight="1" x14ac:dyDescent="0.2">
      <c r="A101" s="5" t="s">
        <v>339</v>
      </c>
      <c r="B101" s="6" t="s">
        <v>340</v>
      </c>
      <c r="C101" s="6" t="s">
        <v>25</v>
      </c>
      <c r="D101" s="7">
        <v>430000</v>
      </c>
      <c r="E101" s="7">
        <v>767000</v>
      </c>
      <c r="F101" s="7">
        <v>430000</v>
      </c>
      <c r="G101" s="7">
        <v>677000</v>
      </c>
      <c r="H101" s="7">
        <v>0</v>
      </c>
      <c r="I101" s="7">
        <v>0</v>
      </c>
      <c r="J101" s="8">
        <f t="shared" si="5"/>
        <v>2304000</v>
      </c>
      <c r="K101" s="6" t="s">
        <v>26</v>
      </c>
      <c r="L101" s="7">
        <v>430000</v>
      </c>
      <c r="M101" s="7">
        <v>687000</v>
      </c>
      <c r="N101" s="7">
        <v>430000</v>
      </c>
      <c r="O101" s="7">
        <v>733000</v>
      </c>
      <c r="P101" s="7">
        <v>0</v>
      </c>
      <c r="Q101" s="7">
        <v>0</v>
      </c>
      <c r="R101" s="8">
        <f t="shared" si="6"/>
        <v>2280000</v>
      </c>
      <c r="S101" s="6" t="s">
        <v>26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8">
        <f t="shared" si="7"/>
        <v>0</v>
      </c>
      <c r="AA101" s="6" t="s">
        <v>27</v>
      </c>
      <c r="AB101" s="9" t="s">
        <v>28</v>
      </c>
      <c r="AC101" s="9" t="s">
        <v>28</v>
      </c>
      <c r="AD101" s="9" t="s">
        <v>28</v>
      </c>
      <c r="AE101" s="9" t="s">
        <v>28</v>
      </c>
      <c r="AF101" s="9" t="s">
        <v>28</v>
      </c>
      <c r="AG101" s="9" t="s">
        <v>28</v>
      </c>
      <c r="AH101" s="10" t="s">
        <v>28</v>
      </c>
      <c r="AI101" s="6" t="s">
        <v>27</v>
      </c>
      <c r="AJ101" s="13">
        <f t="shared" si="8"/>
        <v>4584000</v>
      </c>
      <c r="AK101" s="5" t="s">
        <v>290</v>
      </c>
      <c r="AL101" s="14" t="s">
        <v>341</v>
      </c>
    </row>
    <row r="102" spans="1:38" ht="15" customHeight="1" x14ac:dyDescent="0.2">
      <c r="A102" s="5" t="s">
        <v>342</v>
      </c>
      <c r="B102" s="6" t="s">
        <v>343</v>
      </c>
      <c r="C102" s="6" t="s">
        <v>25</v>
      </c>
      <c r="D102" s="7">
        <v>530000</v>
      </c>
      <c r="E102" s="7">
        <v>985250</v>
      </c>
      <c r="F102" s="7">
        <v>530000</v>
      </c>
      <c r="G102" s="7">
        <v>895250</v>
      </c>
      <c r="H102" s="7">
        <v>0</v>
      </c>
      <c r="I102" s="7">
        <v>0</v>
      </c>
      <c r="J102" s="8">
        <f t="shared" si="5"/>
        <v>2940500</v>
      </c>
      <c r="K102" s="6" t="s">
        <v>26</v>
      </c>
      <c r="L102" s="7">
        <v>530000</v>
      </c>
      <c r="M102" s="7">
        <v>905250</v>
      </c>
      <c r="N102" s="7">
        <v>530000</v>
      </c>
      <c r="O102" s="7">
        <v>1151250</v>
      </c>
      <c r="P102" s="7">
        <v>0</v>
      </c>
      <c r="Q102" s="7">
        <v>0</v>
      </c>
      <c r="R102" s="8">
        <f t="shared" si="6"/>
        <v>3116500</v>
      </c>
      <c r="S102" s="6" t="s">
        <v>26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8">
        <f t="shared" si="7"/>
        <v>0</v>
      </c>
      <c r="AA102" s="6" t="s">
        <v>27</v>
      </c>
      <c r="AB102" s="9" t="s">
        <v>28</v>
      </c>
      <c r="AC102" s="9" t="s">
        <v>28</v>
      </c>
      <c r="AD102" s="9" t="s">
        <v>28</v>
      </c>
      <c r="AE102" s="9" t="s">
        <v>28</v>
      </c>
      <c r="AF102" s="9" t="s">
        <v>28</v>
      </c>
      <c r="AG102" s="9" t="s">
        <v>28</v>
      </c>
      <c r="AH102" s="10" t="s">
        <v>28</v>
      </c>
      <c r="AI102" s="6" t="s">
        <v>27</v>
      </c>
      <c r="AJ102" s="13">
        <f t="shared" si="8"/>
        <v>6057000</v>
      </c>
      <c r="AK102" s="5" t="s">
        <v>290</v>
      </c>
      <c r="AL102" s="14" t="s">
        <v>344</v>
      </c>
    </row>
    <row r="103" spans="1:38" ht="15" customHeight="1" x14ac:dyDescent="0.2">
      <c r="A103" s="5" t="s">
        <v>345</v>
      </c>
      <c r="B103" s="6" t="s">
        <v>346</v>
      </c>
      <c r="C103" s="6" t="s">
        <v>25</v>
      </c>
      <c r="D103" s="7">
        <v>530000</v>
      </c>
      <c r="E103" s="7">
        <v>984500</v>
      </c>
      <c r="F103" s="7">
        <v>530000</v>
      </c>
      <c r="G103" s="7">
        <v>1094500</v>
      </c>
      <c r="H103" s="7">
        <v>0</v>
      </c>
      <c r="I103" s="7">
        <v>0</v>
      </c>
      <c r="J103" s="8">
        <f t="shared" si="5"/>
        <v>3139000</v>
      </c>
      <c r="K103" s="6" t="s">
        <v>26</v>
      </c>
      <c r="L103" s="7">
        <v>530000</v>
      </c>
      <c r="M103" s="7">
        <v>904500</v>
      </c>
      <c r="N103" s="7">
        <v>530000</v>
      </c>
      <c r="O103" s="7">
        <v>1150500</v>
      </c>
      <c r="P103" s="7">
        <v>0</v>
      </c>
      <c r="Q103" s="7">
        <v>0</v>
      </c>
      <c r="R103" s="8">
        <f t="shared" si="6"/>
        <v>3115000</v>
      </c>
      <c r="S103" s="6" t="s">
        <v>26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8">
        <f t="shared" si="7"/>
        <v>0</v>
      </c>
      <c r="AA103" s="6" t="s">
        <v>27</v>
      </c>
      <c r="AB103" s="9" t="s">
        <v>28</v>
      </c>
      <c r="AC103" s="9" t="s">
        <v>28</v>
      </c>
      <c r="AD103" s="9" t="s">
        <v>28</v>
      </c>
      <c r="AE103" s="9" t="s">
        <v>28</v>
      </c>
      <c r="AF103" s="9" t="s">
        <v>28</v>
      </c>
      <c r="AG103" s="9" t="s">
        <v>28</v>
      </c>
      <c r="AH103" s="10" t="s">
        <v>28</v>
      </c>
      <c r="AI103" s="6" t="s">
        <v>27</v>
      </c>
      <c r="AJ103" s="13">
        <f t="shared" si="8"/>
        <v>6254000</v>
      </c>
      <c r="AK103" s="5" t="s">
        <v>290</v>
      </c>
      <c r="AL103" s="14" t="s">
        <v>347</v>
      </c>
    </row>
    <row r="104" spans="1:38" ht="15" customHeight="1" x14ac:dyDescent="0.2">
      <c r="A104" s="5" t="s">
        <v>348</v>
      </c>
      <c r="B104" s="6" t="s">
        <v>349</v>
      </c>
      <c r="C104" s="6" t="s">
        <v>25</v>
      </c>
      <c r="D104" s="7">
        <v>530000</v>
      </c>
      <c r="E104" s="7">
        <v>984500</v>
      </c>
      <c r="F104" s="7">
        <v>530000</v>
      </c>
      <c r="G104" s="7">
        <v>1094500</v>
      </c>
      <c r="H104" s="7">
        <v>0</v>
      </c>
      <c r="I104" s="7">
        <v>0</v>
      </c>
      <c r="J104" s="8">
        <f t="shared" si="5"/>
        <v>3139000</v>
      </c>
      <c r="K104" s="6" t="s">
        <v>26</v>
      </c>
      <c r="L104" s="7">
        <v>530000</v>
      </c>
      <c r="M104" s="7">
        <v>904500</v>
      </c>
      <c r="N104" s="7">
        <v>530000</v>
      </c>
      <c r="O104" s="7">
        <v>1150500</v>
      </c>
      <c r="P104" s="7">
        <v>0</v>
      </c>
      <c r="Q104" s="7">
        <v>0</v>
      </c>
      <c r="R104" s="8">
        <f t="shared" si="6"/>
        <v>3115000</v>
      </c>
      <c r="S104" s="6" t="s">
        <v>26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8">
        <f t="shared" si="7"/>
        <v>0</v>
      </c>
      <c r="AA104" s="6" t="s">
        <v>27</v>
      </c>
      <c r="AB104" s="9" t="s">
        <v>28</v>
      </c>
      <c r="AC104" s="9" t="s">
        <v>28</v>
      </c>
      <c r="AD104" s="9" t="s">
        <v>28</v>
      </c>
      <c r="AE104" s="9" t="s">
        <v>28</v>
      </c>
      <c r="AF104" s="9" t="s">
        <v>28</v>
      </c>
      <c r="AG104" s="9" t="s">
        <v>28</v>
      </c>
      <c r="AH104" s="10" t="s">
        <v>28</v>
      </c>
      <c r="AI104" s="6" t="s">
        <v>27</v>
      </c>
      <c r="AJ104" s="13">
        <f t="shared" si="8"/>
        <v>6254000</v>
      </c>
      <c r="AK104" s="5" t="s">
        <v>290</v>
      </c>
      <c r="AL104" s="14" t="s">
        <v>350</v>
      </c>
    </row>
    <row r="105" spans="1:38" ht="15" customHeight="1" x14ac:dyDescent="0.2">
      <c r="A105" s="5" t="s">
        <v>351</v>
      </c>
      <c r="B105" s="6" t="s">
        <v>352</v>
      </c>
      <c r="C105" s="6" t="s">
        <v>25</v>
      </c>
      <c r="D105" s="7">
        <v>530000</v>
      </c>
      <c r="E105" s="7">
        <v>1058500</v>
      </c>
      <c r="F105" s="7">
        <v>530000</v>
      </c>
      <c r="G105" s="7">
        <v>1168500</v>
      </c>
      <c r="H105" s="7">
        <v>0</v>
      </c>
      <c r="I105" s="7">
        <v>0</v>
      </c>
      <c r="J105" s="8">
        <f t="shared" si="5"/>
        <v>3287000</v>
      </c>
      <c r="K105" s="6" t="s">
        <v>26</v>
      </c>
      <c r="L105" s="7">
        <v>530000</v>
      </c>
      <c r="M105" s="7">
        <v>978500</v>
      </c>
      <c r="N105" s="7">
        <v>530000</v>
      </c>
      <c r="O105" s="7">
        <v>1224500</v>
      </c>
      <c r="P105" s="7">
        <v>0</v>
      </c>
      <c r="Q105" s="7">
        <v>0</v>
      </c>
      <c r="R105" s="8">
        <f t="shared" si="6"/>
        <v>3263000</v>
      </c>
      <c r="S105" s="6" t="s">
        <v>26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8">
        <f t="shared" si="7"/>
        <v>0</v>
      </c>
      <c r="AA105" s="6" t="s">
        <v>27</v>
      </c>
      <c r="AB105" s="9" t="s">
        <v>28</v>
      </c>
      <c r="AC105" s="9" t="s">
        <v>28</v>
      </c>
      <c r="AD105" s="9" t="s">
        <v>28</v>
      </c>
      <c r="AE105" s="9" t="s">
        <v>28</v>
      </c>
      <c r="AF105" s="9" t="s">
        <v>28</v>
      </c>
      <c r="AG105" s="9" t="s">
        <v>28</v>
      </c>
      <c r="AH105" s="10" t="s">
        <v>28</v>
      </c>
      <c r="AI105" s="6" t="s">
        <v>27</v>
      </c>
      <c r="AJ105" s="13">
        <f t="shared" si="8"/>
        <v>6550000</v>
      </c>
      <c r="AK105" s="5" t="s">
        <v>290</v>
      </c>
      <c r="AL105" s="14" t="s">
        <v>353</v>
      </c>
    </row>
    <row r="106" spans="1:38" ht="15" customHeight="1" x14ac:dyDescent="0.2">
      <c r="A106" s="5" t="s">
        <v>354</v>
      </c>
      <c r="B106" s="6" t="s">
        <v>355</v>
      </c>
      <c r="C106" s="6" t="s">
        <v>25</v>
      </c>
      <c r="D106" s="7">
        <v>530000</v>
      </c>
      <c r="E106" s="7">
        <v>985250</v>
      </c>
      <c r="F106" s="7">
        <v>530000</v>
      </c>
      <c r="G106" s="7">
        <v>895250</v>
      </c>
      <c r="H106" s="7">
        <v>0</v>
      </c>
      <c r="I106" s="7">
        <v>0</v>
      </c>
      <c r="J106" s="8">
        <f t="shared" si="5"/>
        <v>2940500</v>
      </c>
      <c r="K106" s="6" t="s">
        <v>26</v>
      </c>
      <c r="L106" s="7">
        <v>530000</v>
      </c>
      <c r="M106" s="7">
        <v>905250</v>
      </c>
      <c r="N106" s="7">
        <v>530000</v>
      </c>
      <c r="O106" s="7">
        <v>1151250</v>
      </c>
      <c r="P106" s="7">
        <v>0</v>
      </c>
      <c r="Q106" s="7">
        <v>0</v>
      </c>
      <c r="R106" s="8">
        <f t="shared" si="6"/>
        <v>3116500</v>
      </c>
      <c r="S106" s="6" t="s">
        <v>26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8">
        <f t="shared" si="7"/>
        <v>0</v>
      </c>
      <c r="AA106" s="6" t="s">
        <v>27</v>
      </c>
      <c r="AB106" s="9" t="s">
        <v>28</v>
      </c>
      <c r="AC106" s="9" t="s">
        <v>28</v>
      </c>
      <c r="AD106" s="9" t="s">
        <v>28</v>
      </c>
      <c r="AE106" s="9" t="s">
        <v>28</v>
      </c>
      <c r="AF106" s="9" t="s">
        <v>28</v>
      </c>
      <c r="AG106" s="9" t="s">
        <v>28</v>
      </c>
      <c r="AH106" s="10" t="s">
        <v>28</v>
      </c>
      <c r="AI106" s="6" t="s">
        <v>27</v>
      </c>
      <c r="AJ106" s="13">
        <f t="shared" si="8"/>
        <v>6057000</v>
      </c>
      <c r="AK106" s="5" t="s">
        <v>290</v>
      </c>
      <c r="AL106" s="14" t="s">
        <v>356</v>
      </c>
    </row>
    <row r="107" spans="1:38" ht="15" customHeight="1" x14ac:dyDescent="0.2">
      <c r="A107" s="5" t="s">
        <v>357</v>
      </c>
      <c r="B107" s="6" t="s">
        <v>358</v>
      </c>
      <c r="C107" s="6" t="s">
        <v>25</v>
      </c>
      <c r="D107" s="7">
        <v>430000</v>
      </c>
      <c r="E107" s="7">
        <v>917000</v>
      </c>
      <c r="F107" s="7">
        <v>430000</v>
      </c>
      <c r="G107" s="7">
        <v>677000</v>
      </c>
      <c r="H107" s="7">
        <v>0</v>
      </c>
      <c r="I107" s="7">
        <v>0</v>
      </c>
      <c r="J107" s="8">
        <f t="shared" si="5"/>
        <v>2454000</v>
      </c>
      <c r="K107" s="6" t="s">
        <v>26</v>
      </c>
      <c r="L107" s="7">
        <v>430000</v>
      </c>
      <c r="M107" s="7">
        <v>837000</v>
      </c>
      <c r="N107" s="7">
        <v>430000</v>
      </c>
      <c r="O107" s="7">
        <v>933000</v>
      </c>
      <c r="P107" s="7">
        <v>0</v>
      </c>
      <c r="Q107" s="7">
        <v>0</v>
      </c>
      <c r="R107" s="8">
        <f t="shared" si="6"/>
        <v>2630000</v>
      </c>
      <c r="S107" s="6" t="s">
        <v>26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8">
        <f t="shared" si="7"/>
        <v>0</v>
      </c>
      <c r="AA107" s="6" t="s">
        <v>27</v>
      </c>
      <c r="AB107" s="9" t="s">
        <v>28</v>
      </c>
      <c r="AC107" s="9" t="s">
        <v>28</v>
      </c>
      <c r="AD107" s="9" t="s">
        <v>28</v>
      </c>
      <c r="AE107" s="9" t="s">
        <v>28</v>
      </c>
      <c r="AF107" s="9" t="s">
        <v>28</v>
      </c>
      <c r="AG107" s="9" t="s">
        <v>28</v>
      </c>
      <c r="AH107" s="10" t="s">
        <v>28</v>
      </c>
      <c r="AI107" s="6" t="s">
        <v>27</v>
      </c>
      <c r="AJ107" s="13">
        <f t="shared" si="8"/>
        <v>5084000</v>
      </c>
      <c r="AK107" s="5" t="s">
        <v>290</v>
      </c>
      <c r="AL107" s="14" t="s">
        <v>359</v>
      </c>
    </row>
    <row r="108" spans="1:38" ht="15" customHeight="1" x14ac:dyDescent="0.2">
      <c r="A108" s="5" t="s">
        <v>360</v>
      </c>
      <c r="B108" s="6" t="s">
        <v>361</v>
      </c>
      <c r="C108" s="6" t="s">
        <v>25</v>
      </c>
      <c r="D108" s="7">
        <v>430000</v>
      </c>
      <c r="E108" s="7">
        <v>767000</v>
      </c>
      <c r="F108" s="7">
        <v>430000</v>
      </c>
      <c r="G108" s="7">
        <v>677000</v>
      </c>
      <c r="H108" s="7">
        <v>0</v>
      </c>
      <c r="I108" s="7">
        <v>0</v>
      </c>
      <c r="J108" s="8">
        <f t="shared" si="5"/>
        <v>2304000</v>
      </c>
      <c r="K108" s="6" t="s">
        <v>26</v>
      </c>
      <c r="L108" s="7">
        <v>430000</v>
      </c>
      <c r="M108" s="7">
        <v>687000</v>
      </c>
      <c r="N108" s="7">
        <v>430000</v>
      </c>
      <c r="O108" s="7">
        <v>733000</v>
      </c>
      <c r="P108" s="7">
        <v>0</v>
      </c>
      <c r="Q108" s="7">
        <v>0</v>
      </c>
      <c r="R108" s="8">
        <f t="shared" si="6"/>
        <v>2280000</v>
      </c>
      <c r="S108" s="6" t="s">
        <v>26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8">
        <f t="shared" si="7"/>
        <v>0</v>
      </c>
      <c r="AA108" s="6" t="s">
        <v>27</v>
      </c>
      <c r="AB108" s="9" t="s">
        <v>28</v>
      </c>
      <c r="AC108" s="9" t="s">
        <v>28</v>
      </c>
      <c r="AD108" s="9" t="s">
        <v>28</v>
      </c>
      <c r="AE108" s="9" t="s">
        <v>28</v>
      </c>
      <c r="AF108" s="9" t="s">
        <v>28</v>
      </c>
      <c r="AG108" s="9" t="s">
        <v>28</v>
      </c>
      <c r="AH108" s="10" t="s">
        <v>28</v>
      </c>
      <c r="AI108" s="6" t="s">
        <v>27</v>
      </c>
      <c r="AJ108" s="13">
        <f t="shared" si="8"/>
        <v>4584000</v>
      </c>
      <c r="AK108" s="5" t="s">
        <v>290</v>
      </c>
      <c r="AL108" s="14" t="s">
        <v>362</v>
      </c>
    </row>
    <row r="109" spans="1:38" ht="15" customHeight="1" x14ac:dyDescent="0.2">
      <c r="A109" s="5" t="s">
        <v>363</v>
      </c>
      <c r="B109" s="6" t="s">
        <v>364</v>
      </c>
      <c r="C109" s="6" t="s">
        <v>25</v>
      </c>
      <c r="D109" s="7">
        <v>530000</v>
      </c>
      <c r="E109" s="7">
        <v>1044500</v>
      </c>
      <c r="F109" s="7">
        <v>530000</v>
      </c>
      <c r="G109" s="7">
        <v>1154500</v>
      </c>
      <c r="H109" s="7">
        <v>0</v>
      </c>
      <c r="I109" s="7">
        <v>0</v>
      </c>
      <c r="J109" s="8">
        <f t="shared" si="5"/>
        <v>3259000</v>
      </c>
      <c r="K109" s="6" t="s">
        <v>26</v>
      </c>
      <c r="L109" s="7">
        <v>530000</v>
      </c>
      <c r="M109" s="7">
        <v>964500</v>
      </c>
      <c r="N109" s="7">
        <v>530000</v>
      </c>
      <c r="O109" s="7">
        <v>1210500</v>
      </c>
      <c r="P109" s="7">
        <v>0</v>
      </c>
      <c r="Q109" s="7">
        <v>0</v>
      </c>
      <c r="R109" s="8">
        <f t="shared" si="6"/>
        <v>3235000</v>
      </c>
      <c r="S109" s="6" t="s">
        <v>26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8">
        <f t="shared" si="7"/>
        <v>0</v>
      </c>
      <c r="AA109" s="6" t="s">
        <v>27</v>
      </c>
      <c r="AB109" s="9" t="s">
        <v>28</v>
      </c>
      <c r="AC109" s="9" t="s">
        <v>28</v>
      </c>
      <c r="AD109" s="9" t="s">
        <v>28</v>
      </c>
      <c r="AE109" s="9" t="s">
        <v>28</v>
      </c>
      <c r="AF109" s="9" t="s">
        <v>28</v>
      </c>
      <c r="AG109" s="9" t="s">
        <v>28</v>
      </c>
      <c r="AH109" s="10" t="s">
        <v>28</v>
      </c>
      <c r="AI109" s="6" t="s">
        <v>27</v>
      </c>
      <c r="AJ109" s="13">
        <f t="shared" si="8"/>
        <v>6494000</v>
      </c>
      <c r="AK109" s="5" t="s">
        <v>290</v>
      </c>
      <c r="AL109" s="14" t="s">
        <v>365</v>
      </c>
    </row>
    <row r="110" spans="1:38" ht="15" customHeight="1" x14ac:dyDescent="0.2">
      <c r="A110" s="5" t="s">
        <v>366</v>
      </c>
      <c r="B110" s="6" t="s">
        <v>367</v>
      </c>
      <c r="C110" s="6" t="s">
        <v>25</v>
      </c>
      <c r="D110" s="7">
        <v>430000</v>
      </c>
      <c r="E110" s="7">
        <v>767000</v>
      </c>
      <c r="F110" s="7">
        <v>430000</v>
      </c>
      <c r="G110" s="7">
        <v>677000</v>
      </c>
      <c r="H110" s="7">
        <v>0</v>
      </c>
      <c r="I110" s="7">
        <v>0</v>
      </c>
      <c r="J110" s="8">
        <f t="shared" si="5"/>
        <v>2304000</v>
      </c>
      <c r="K110" s="6" t="s">
        <v>26</v>
      </c>
      <c r="L110" s="7">
        <v>430000</v>
      </c>
      <c r="M110" s="7">
        <v>687000</v>
      </c>
      <c r="N110" s="7">
        <v>430000</v>
      </c>
      <c r="O110" s="7">
        <v>733000</v>
      </c>
      <c r="P110" s="7">
        <v>0</v>
      </c>
      <c r="Q110" s="7">
        <v>0</v>
      </c>
      <c r="R110" s="8">
        <f t="shared" si="6"/>
        <v>2280000</v>
      </c>
      <c r="S110" s="6" t="s">
        <v>26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8">
        <f t="shared" si="7"/>
        <v>0</v>
      </c>
      <c r="AA110" s="6" t="s">
        <v>27</v>
      </c>
      <c r="AB110" s="9" t="s">
        <v>28</v>
      </c>
      <c r="AC110" s="9" t="s">
        <v>28</v>
      </c>
      <c r="AD110" s="9" t="s">
        <v>28</v>
      </c>
      <c r="AE110" s="9" t="s">
        <v>28</v>
      </c>
      <c r="AF110" s="9" t="s">
        <v>28</v>
      </c>
      <c r="AG110" s="9" t="s">
        <v>28</v>
      </c>
      <c r="AH110" s="10" t="s">
        <v>28</v>
      </c>
      <c r="AI110" s="6" t="s">
        <v>27</v>
      </c>
      <c r="AJ110" s="13">
        <f t="shared" si="8"/>
        <v>4584000</v>
      </c>
      <c r="AK110" s="5" t="s">
        <v>290</v>
      </c>
      <c r="AL110" s="14" t="s">
        <v>368</v>
      </c>
    </row>
    <row r="111" spans="1:38" ht="15" customHeight="1" x14ac:dyDescent="0.2">
      <c r="A111" s="5" t="s">
        <v>369</v>
      </c>
      <c r="B111" s="6" t="s">
        <v>370</v>
      </c>
      <c r="C111" s="6" t="s">
        <v>25</v>
      </c>
      <c r="D111" s="7">
        <v>530000</v>
      </c>
      <c r="E111" s="7">
        <v>985250</v>
      </c>
      <c r="F111" s="7">
        <v>530000</v>
      </c>
      <c r="G111" s="7">
        <v>895250</v>
      </c>
      <c r="H111" s="7">
        <v>0</v>
      </c>
      <c r="I111" s="7">
        <v>0</v>
      </c>
      <c r="J111" s="8">
        <f t="shared" si="5"/>
        <v>2940500</v>
      </c>
      <c r="K111" s="6" t="s">
        <v>26</v>
      </c>
      <c r="L111" s="7">
        <v>530000</v>
      </c>
      <c r="M111" s="7">
        <v>905250</v>
      </c>
      <c r="N111" s="7">
        <v>530000</v>
      </c>
      <c r="O111" s="7">
        <v>1151250</v>
      </c>
      <c r="P111" s="7">
        <v>0</v>
      </c>
      <c r="Q111" s="7">
        <v>0</v>
      </c>
      <c r="R111" s="8">
        <f t="shared" si="6"/>
        <v>3116500</v>
      </c>
      <c r="S111" s="6" t="s">
        <v>26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8">
        <f t="shared" si="7"/>
        <v>0</v>
      </c>
      <c r="AA111" s="6" t="s">
        <v>27</v>
      </c>
      <c r="AB111" s="9" t="s">
        <v>28</v>
      </c>
      <c r="AC111" s="9" t="s">
        <v>28</v>
      </c>
      <c r="AD111" s="9" t="s">
        <v>28</v>
      </c>
      <c r="AE111" s="9" t="s">
        <v>28</v>
      </c>
      <c r="AF111" s="9" t="s">
        <v>28</v>
      </c>
      <c r="AG111" s="9" t="s">
        <v>28</v>
      </c>
      <c r="AH111" s="10" t="s">
        <v>28</v>
      </c>
      <c r="AI111" s="6" t="s">
        <v>27</v>
      </c>
      <c r="AJ111" s="13">
        <f t="shared" si="8"/>
        <v>6057000</v>
      </c>
      <c r="AK111" s="5" t="s">
        <v>290</v>
      </c>
      <c r="AL111" s="14" t="s">
        <v>371</v>
      </c>
    </row>
    <row r="112" spans="1:38" ht="15" customHeight="1" x14ac:dyDescent="0.2">
      <c r="A112" s="5" t="s">
        <v>372</v>
      </c>
      <c r="B112" s="6" t="s">
        <v>373</v>
      </c>
      <c r="C112" s="6" t="s">
        <v>25</v>
      </c>
      <c r="D112" s="7">
        <v>530000</v>
      </c>
      <c r="E112" s="7">
        <v>984500</v>
      </c>
      <c r="F112" s="7">
        <v>530000</v>
      </c>
      <c r="G112" s="7">
        <v>1094500</v>
      </c>
      <c r="H112" s="7">
        <v>0</v>
      </c>
      <c r="I112" s="7">
        <v>0</v>
      </c>
      <c r="J112" s="8">
        <f t="shared" si="5"/>
        <v>3139000</v>
      </c>
      <c r="K112" s="6" t="s">
        <v>26</v>
      </c>
      <c r="L112" s="7">
        <v>530000</v>
      </c>
      <c r="M112" s="7">
        <v>904500</v>
      </c>
      <c r="N112" s="7">
        <v>530000</v>
      </c>
      <c r="O112" s="7">
        <v>1150500</v>
      </c>
      <c r="P112" s="7">
        <v>0</v>
      </c>
      <c r="Q112" s="7">
        <v>0</v>
      </c>
      <c r="R112" s="8">
        <f t="shared" si="6"/>
        <v>3115000</v>
      </c>
      <c r="S112" s="6" t="s">
        <v>26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8">
        <f t="shared" si="7"/>
        <v>0</v>
      </c>
      <c r="AA112" s="6" t="s">
        <v>27</v>
      </c>
      <c r="AB112" s="9" t="s">
        <v>28</v>
      </c>
      <c r="AC112" s="9" t="s">
        <v>28</v>
      </c>
      <c r="AD112" s="9" t="s">
        <v>28</v>
      </c>
      <c r="AE112" s="9" t="s">
        <v>28</v>
      </c>
      <c r="AF112" s="9" t="s">
        <v>28</v>
      </c>
      <c r="AG112" s="9" t="s">
        <v>28</v>
      </c>
      <c r="AH112" s="10" t="s">
        <v>28</v>
      </c>
      <c r="AI112" s="6" t="s">
        <v>27</v>
      </c>
      <c r="AJ112" s="13">
        <f t="shared" si="8"/>
        <v>6254000</v>
      </c>
      <c r="AK112" s="5" t="s">
        <v>290</v>
      </c>
      <c r="AL112" s="14" t="s">
        <v>374</v>
      </c>
    </row>
    <row r="113" spans="1:38" ht="15" customHeight="1" x14ac:dyDescent="0.2">
      <c r="A113" s="5" t="s">
        <v>375</v>
      </c>
      <c r="B113" s="6" t="s">
        <v>376</v>
      </c>
      <c r="C113" s="6" t="s">
        <v>25</v>
      </c>
      <c r="D113" s="7">
        <v>530000</v>
      </c>
      <c r="E113" s="7">
        <v>984500</v>
      </c>
      <c r="F113" s="7">
        <v>530000</v>
      </c>
      <c r="G113" s="7">
        <v>1094500</v>
      </c>
      <c r="H113" s="7">
        <v>0</v>
      </c>
      <c r="I113" s="7">
        <v>0</v>
      </c>
      <c r="J113" s="8">
        <f t="shared" si="5"/>
        <v>3139000</v>
      </c>
      <c r="K113" s="6" t="s">
        <v>26</v>
      </c>
      <c r="L113" s="7">
        <v>530000</v>
      </c>
      <c r="M113" s="7">
        <v>904500</v>
      </c>
      <c r="N113" s="7">
        <v>530000</v>
      </c>
      <c r="O113" s="7">
        <v>1150500</v>
      </c>
      <c r="P113" s="7">
        <v>0</v>
      </c>
      <c r="Q113" s="7">
        <v>0</v>
      </c>
      <c r="R113" s="8">
        <f t="shared" si="6"/>
        <v>3115000</v>
      </c>
      <c r="S113" s="6" t="s">
        <v>26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8">
        <f t="shared" si="7"/>
        <v>0</v>
      </c>
      <c r="AA113" s="6" t="s">
        <v>27</v>
      </c>
      <c r="AB113" s="9" t="s">
        <v>28</v>
      </c>
      <c r="AC113" s="9" t="s">
        <v>28</v>
      </c>
      <c r="AD113" s="9" t="s">
        <v>28</v>
      </c>
      <c r="AE113" s="9" t="s">
        <v>28</v>
      </c>
      <c r="AF113" s="9" t="s">
        <v>28</v>
      </c>
      <c r="AG113" s="9" t="s">
        <v>28</v>
      </c>
      <c r="AH113" s="10" t="s">
        <v>28</v>
      </c>
      <c r="AI113" s="6" t="s">
        <v>27</v>
      </c>
      <c r="AJ113" s="13">
        <f t="shared" si="8"/>
        <v>6254000</v>
      </c>
      <c r="AK113" s="5" t="s">
        <v>290</v>
      </c>
      <c r="AL113" s="14" t="s">
        <v>377</v>
      </c>
    </row>
    <row r="114" spans="1:38" ht="15" customHeight="1" x14ac:dyDescent="0.2">
      <c r="A114" s="5" t="s">
        <v>378</v>
      </c>
      <c r="B114" s="6" t="s">
        <v>379</v>
      </c>
      <c r="C114" s="6" t="s">
        <v>25</v>
      </c>
      <c r="D114" s="7">
        <v>530000</v>
      </c>
      <c r="E114" s="7">
        <v>984500</v>
      </c>
      <c r="F114" s="7">
        <v>530000</v>
      </c>
      <c r="G114" s="7">
        <v>1094500</v>
      </c>
      <c r="H114" s="7">
        <v>0</v>
      </c>
      <c r="I114" s="7">
        <v>0</v>
      </c>
      <c r="J114" s="8">
        <f t="shared" si="5"/>
        <v>3139000</v>
      </c>
      <c r="K114" s="6" t="s">
        <v>26</v>
      </c>
      <c r="L114" s="7">
        <v>530000</v>
      </c>
      <c r="M114" s="7">
        <v>904500</v>
      </c>
      <c r="N114" s="7">
        <v>530000</v>
      </c>
      <c r="O114" s="7">
        <v>1150500</v>
      </c>
      <c r="P114" s="7">
        <v>0</v>
      </c>
      <c r="Q114" s="7">
        <v>0</v>
      </c>
      <c r="R114" s="8">
        <f t="shared" si="6"/>
        <v>3115000</v>
      </c>
      <c r="S114" s="6" t="s">
        <v>26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8">
        <f t="shared" si="7"/>
        <v>0</v>
      </c>
      <c r="AA114" s="6" t="s">
        <v>27</v>
      </c>
      <c r="AB114" s="9" t="s">
        <v>28</v>
      </c>
      <c r="AC114" s="9" t="s">
        <v>28</v>
      </c>
      <c r="AD114" s="9" t="s">
        <v>28</v>
      </c>
      <c r="AE114" s="9" t="s">
        <v>28</v>
      </c>
      <c r="AF114" s="9" t="s">
        <v>28</v>
      </c>
      <c r="AG114" s="9" t="s">
        <v>28</v>
      </c>
      <c r="AH114" s="10" t="s">
        <v>28</v>
      </c>
      <c r="AI114" s="6" t="s">
        <v>27</v>
      </c>
      <c r="AJ114" s="13">
        <f t="shared" si="8"/>
        <v>6254000</v>
      </c>
      <c r="AK114" s="5" t="s">
        <v>290</v>
      </c>
      <c r="AL114" s="14" t="s">
        <v>380</v>
      </c>
    </row>
    <row r="115" spans="1:38" ht="15" customHeight="1" x14ac:dyDescent="0.2">
      <c r="A115" s="5" t="s">
        <v>381</v>
      </c>
      <c r="B115" s="6" t="s">
        <v>382</v>
      </c>
      <c r="C115" s="6" t="s">
        <v>25</v>
      </c>
      <c r="D115" s="7">
        <v>400000</v>
      </c>
      <c r="E115" s="7">
        <v>430000</v>
      </c>
      <c r="F115" s="7">
        <v>400000</v>
      </c>
      <c r="G115" s="7">
        <v>365000</v>
      </c>
      <c r="H115" s="7">
        <v>0</v>
      </c>
      <c r="I115" s="7">
        <v>0</v>
      </c>
      <c r="J115" s="8">
        <f t="shared" si="5"/>
        <v>1595000</v>
      </c>
      <c r="K115" s="6" t="s">
        <v>26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8">
        <f t="shared" si="6"/>
        <v>0</v>
      </c>
      <c r="S115" s="6" t="s">
        <v>27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8">
        <f t="shared" si="7"/>
        <v>0</v>
      </c>
      <c r="AA115" s="6" t="s">
        <v>27</v>
      </c>
      <c r="AB115" s="9" t="s">
        <v>28</v>
      </c>
      <c r="AC115" s="9" t="s">
        <v>28</v>
      </c>
      <c r="AD115" s="9" t="s">
        <v>28</v>
      </c>
      <c r="AE115" s="9" t="s">
        <v>28</v>
      </c>
      <c r="AF115" s="9" t="s">
        <v>28</v>
      </c>
      <c r="AG115" s="9" t="s">
        <v>28</v>
      </c>
      <c r="AH115" s="10" t="s">
        <v>28</v>
      </c>
      <c r="AI115" s="6" t="s">
        <v>27</v>
      </c>
      <c r="AJ115" s="11">
        <f t="shared" si="8"/>
        <v>1595000</v>
      </c>
      <c r="AK115" s="5" t="s">
        <v>321</v>
      </c>
      <c r="AL115" s="12" t="s">
        <v>383</v>
      </c>
    </row>
    <row r="116" spans="1:38" ht="15" customHeight="1" x14ac:dyDescent="0.2">
      <c r="A116" s="5" t="s">
        <v>384</v>
      </c>
      <c r="B116" s="6" t="s">
        <v>385</v>
      </c>
      <c r="C116" s="6" t="s">
        <v>25</v>
      </c>
      <c r="D116" s="7">
        <v>400000</v>
      </c>
      <c r="E116" s="7">
        <v>430000</v>
      </c>
      <c r="F116" s="7">
        <v>400000</v>
      </c>
      <c r="G116" s="7">
        <v>365000</v>
      </c>
      <c r="H116" s="7">
        <v>0</v>
      </c>
      <c r="I116" s="7">
        <v>0</v>
      </c>
      <c r="J116" s="8">
        <f t="shared" si="5"/>
        <v>1595000</v>
      </c>
      <c r="K116" s="6" t="s">
        <v>26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8">
        <f t="shared" si="6"/>
        <v>0</v>
      </c>
      <c r="S116" s="6" t="s">
        <v>27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8">
        <f t="shared" si="7"/>
        <v>0</v>
      </c>
      <c r="AA116" s="6" t="s">
        <v>27</v>
      </c>
      <c r="AB116" s="9" t="s">
        <v>28</v>
      </c>
      <c r="AC116" s="9" t="s">
        <v>28</v>
      </c>
      <c r="AD116" s="9" t="s">
        <v>28</v>
      </c>
      <c r="AE116" s="9" t="s">
        <v>28</v>
      </c>
      <c r="AF116" s="9" t="s">
        <v>28</v>
      </c>
      <c r="AG116" s="9" t="s">
        <v>28</v>
      </c>
      <c r="AH116" s="10" t="s">
        <v>28</v>
      </c>
      <c r="AI116" s="6" t="s">
        <v>27</v>
      </c>
      <c r="AJ116" s="11">
        <f t="shared" si="8"/>
        <v>1595000</v>
      </c>
      <c r="AK116" s="5" t="s">
        <v>386</v>
      </c>
      <c r="AL116" s="12" t="s">
        <v>387</v>
      </c>
    </row>
    <row r="117" spans="1:38" ht="15" customHeight="1" x14ac:dyDescent="0.2">
      <c r="A117" s="5" t="s">
        <v>388</v>
      </c>
      <c r="B117" s="6" t="s">
        <v>389</v>
      </c>
      <c r="C117" s="6" t="s">
        <v>25</v>
      </c>
      <c r="D117" s="7">
        <v>630000</v>
      </c>
      <c r="E117" s="7">
        <v>767000</v>
      </c>
      <c r="F117" s="7">
        <v>630000</v>
      </c>
      <c r="G117" s="7">
        <v>677000</v>
      </c>
      <c r="H117" s="7">
        <v>0</v>
      </c>
      <c r="I117" s="7">
        <v>0</v>
      </c>
      <c r="J117" s="8">
        <f t="shared" si="5"/>
        <v>2704000</v>
      </c>
      <c r="K117" s="6" t="s">
        <v>26</v>
      </c>
      <c r="L117" s="7">
        <v>630000</v>
      </c>
      <c r="M117" s="7">
        <v>687000</v>
      </c>
      <c r="N117" s="7">
        <v>630000</v>
      </c>
      <c r="O117" s="7">
        <v>653000</v>
      </c>
      <c r="P117" s="7">
        <v>0</v>
      </c>
      <c r="Q117" s="7">
        <v>0</v>
      </c>
      <c r="R117" s="8">
        <f t="shared" si="6"/>
        <v>2600000</v>
      </c>
      <c r="S117" s="6" t="s">
        <v>26</v>
      </c>
      <c r="T117" s="7">
        <v>630000</v>
      </c>
      <c r="U117" s="7">
        <v>663000</v>
      </c>
      <c r="V117" s="7">
        <v>630000</v>
      </c>
      <c r="W117" s="7">
        <v>933000</v>
      </c>
      <c r="X117" s="7">
        <v>0</v>
      </c>
      <c r="Y117" s="7">
        <v>0</v>
      </c>
      <c r="Z117" s="8">
        <f t="shared" si="7"/>
        <v>2856000</v>
      </c>
      <c r="AA117" s="6" t="s">
        <v>26</v>
      </c>
      <c r="AB117" s="9" t="s">
        <v>28</v>
      </c>
      <c r="AC117" s="9" t="s">
        <v>28</v>
      </c>
      <c r="AD117" s="9" t="s">
        <v>28</v>
      </c>
      <c r="AE117" s="9" t="s">
        <v>28</v>
      </c>
      <c r="AF117" s="9" t="s">
        <v>28</v>
      </c>
      <c r="AG117" s="9" t="s">
        <v>28</v>
      </c>
      <c r="AH117" s="10" t="s">
        <v>28</v>
      </c>
      <c r="AI117" s="6" t="s">
        <v>27</v>
      </c>
      <c r="AJ117" s="13">
        <f t="shared" si="8"/>
        <v>8160000</v>
      </c>
      <c r="AK117" s="5" t="s">
        <v>390</v>
      </c>
      <c r="AL117" s="14" t="s">
        <v>391</v>
      </c>
    </row>
    <row r="118" spans="1:38" ht="15" customHeight="1" x14ac:dyDescent="0.2">
      <c r="A118" s="5" t="s">
        <v>392</v>
      </c>
      <c r="B118" s="6" t="s">
        <v>393</v>
      </c>
      <c r="C118" s="6" t="s">
        <v>25</v>
      </c>
      <c r="D118" s="7">
        <v>630000</v>
      </c>
      <c r="E118" s="7">
        <v>767000</v>
      </c>
      <c r="F118" s="7">
        <v>630000</v>
      </c>
      <c r="G118" s="7">
        <v>677000</v>
      </c>
      <c r="H118" s="7">
        <v>0</v>
      </c>
      <c r="I118" s="7">
        <v>0</v>
      </c>
      <c r="J118" s="8">
        <f t="shared" si="5"/>
        <v>2704000</v>
      </c>
      <c r="K118" s="6" t="s">
        <v>26</v>
      </c>
      <c r="L118" s="7">
        <v>630000</v>
      </c>
      <c r="M118" s="7">
        <v>687000</v>
      </c>
      <c r="N118" s="7">
        <v>630000</v>
      </c>
      <c r="O118" s="7">
        <v>653000</v>
      </c>
      <c r="P118" s="7">
        <v>0</v>
      </c>
      <c r="Q118" s="7">
        <v>0</v>
      </c>
      <c r="R118" s="8">
        <f t="shared" si="6"/>
        <v>2600000</v>
      </c>
      <c r="S118" s="6" t="s">
        <v>26</v>
      </c>
      <c r="T118" s="7">
        <v>630000</v>
      </c>
      <c r="U118" s="7">
        <v>663000</v>
      </c>
      <c r="V118" s="7">
        <v>630000</v>
      </c>
      <c r="W118" s="7">
        <v>933000</v>
      </c>
      <c r="X118" s="7">
        <v>0</v>
      </c>
      <c r="Y118" s="7">
        <v>0</v>
      </c>
      <c r="Z118" s="8">
        <f t="shared" si="7"/>
        <v>2856000</v>
      </c>
      <c r="AA118" s="6" t="s">
        <v>26</v>
      </c>
      <c r="AB118" s="9" t="s">
        <v>28</v>
      </c>
      <c r="AC118" s="9" t="s">
        <v>28</v>
      </c>
      <c r="AD118" s="9" t="s">
        <v>28</v>
      </c>
      <c r="AE118" s="9" t="s">
        <v>28</v>
      </c>
      <c r="AF118" s="9" t="s">
        <v>28</v>
      </c>
      <c r="AG118" s="9" t="s">
        <v>28</v>
      </c>
      <c r="AH118" s="10" t="s">
        <v>28</v>
      </c>
      <c r="AI118" s="6" t="s">
        <v>27</v>
      </c>
      <c r="AJ118" s="13">
        <f t="shared" si="8"/>
        <v>8160000</v>
      </c>
      <c r="AK118" s="5" t="s">
        <v>390</v>
      </c>
      <c r="AL118" s="14" t="s">
        <v>394</v>
      </c>
    </row>
    <row r="119" spans="1:38" ht="20.25" customHeight="1" x14ac:dyDescent="0.2">
      <c r="A119" s="5" t="s">
        <v>395</v>
      </c>
      <c r="B119" s="6" t="s">
        <v>396</v>
      </c>
      <c r="C119" s="6" t="s">
        <v>25</v>
      </c>
      <c r="D119" s="7">
        <v>630000</v>
      </c>
      <c r="E119" s="7">
        <v>767000</v>
      </c>
      <c r="F119" s="7">
        <v>630000</v>
      </c>
      <c r="G119" s="7">
        <v>677000</v>
      </c>
      <c r="H119" s="7">
        <v>0</v>
      </c>
      <c r="I119" s="7">
        <v>0</v>
      </c>
      <c r="J119" s="8">
        <f t="shared" si="5"/>
        <v>2704000</v>
      </c>
      <c r="K119" s="6" t="s">
        <v>26</v>
      </c>
      <c r="L119" s="7">
        <v>630000</v>
      </c>
      <c r="M119" s="7">
        <v>687000</v>
      </c>
      <c r="N119" s="7">
        <v>630000</v>
      </c>
      <c r="O119" s="7">
        <v>653000</v>
      </c>
      <c r="P119" s="7">
        <v>0</v>
      </c>
      <c r="Q119" s="7">
        <v>0</v>
      </c>
      <c r="R119" s="8">
        <f t="shared" si="6"/>
        <v>2600000</v>
      </c>
      <c r="S119" s="6" t="s">
        <v>26</v>
      </c>
      <c r="T119" s="7">
        <v>630000</v>
      </c>
      <c r="U119" s="7">
        <v>663000</v>
      </c>
      <c r="V119" s="7">
        <v>630000</v>
      </c>
      <c r="W119" s="7">
        <v>933000</v>
      </c>
      <c r="X119" s="7">
        <v>0</v>
      </c>
      <c r="Y119" s="7">
        <v>0</v>
      </c>
      <c r="Z119" s="8">
        <f t="shared" si="7"/>
        <v>2856000</v>
      </c>
      <c r="AA119" s="6" t="s">
        <v>26</v>
      </c>
      <c r="AB119" s="9" t="s">
        <v>28</v>
      </c>
      <c r="AC119" s="9" t="s">
        <v>28</v>
      </c>
      <c r="AD119" s="9" t="s">
        <v>28</v>
      </c>
      <c r="AE119" s="9" t="s">
        <v>28</v>
      </c>
      <c r="AF119" s="9" t="s">
        <v>28</v>
      </c>
      <c r="AG119" s="9" t="s">
        <v>28</v>
      </c>
      <c r="AH119" s="10" t="s">
        <v>28</v>
      </c>
      <c r="AI119" s="6" t="s">
        <v>27</v>
      </c>
      <c r="AJ119" s="13">
        <f t="shared" si="8"/>
        <v>8160000</v>
      </c>
      <c r="AK119" s="25" t="s">
        <v>397</v>
      </c>
      <c r="AL119" s="14" t="s">
        <v>398</v>
      </c>
    </row>
    <row r="120" spans="1:38" ht="15" customHeight="1" x14ac:dyDescent="0.2">
      <c r="A120" s="5" t="s">
        <v>399</v>
      </c>
      <c r="B120" s="6" t="s">
        <v>400</v>
      </c>
      <c r="C120" s="6" t="s">
        <v>25</v>
      </c>
      <c r="D120" s="7">
        <v>780000</v>
      </c>
      <c r="E120" s="7">
        <v>887000</v>
      </c>
      <c r="F120" s="7">
        <v>780000</v>
      </c>
      <c r="G120" s="7">
        <v>797000</v>
      </c>
      <c r="H120" s="7">
        <v>0</v>
      </c>
      <c r="I120" s="7">
        <v>0</v>
      </c>
      <c r="J120" s="8">
        <f t="shared" si="5"/>
        <v>3244000</v>
      </c>
      <c r="K120" s="6" t="s">
        <v>26</v>
      </c>
      <c r="L120" s="7">
        <v>780000</v>
      </c>
      <c r="M120" s="7">
        <v>807000</v>
      </c>
      <c r="N120" s="7">
        <v>780000</v>
      </c>
      <c r="O120" s="7">
        <v>973000</v>
      </c>
      <c r="P120" s="7">
        <v>0</v>
      </c>
      <c r="Q120" s="7">
        <v>0</v>
      </c>
      <c r="R120" s="8">
        <f t="shared" si="6"/>
        <v>3340000</v>
      </c>
      <c r="S120" s="6" t="s">
        <v>26</v>
      </c>
      <c r="T120" s="7">
        <v>780000</v>
      </c>
      <c r="U120" s="7">
        <v>783000</v>
      </c>
      <c r="V120" s="7">
        <v>780000</v>
      </c>
      <c r="W120" s="7">
        <v>1053000</v>
      </c>
      <c r="X120" s="7">
        <v>0</v>
      </c>
      <c r="Y120" s="7">
        <v>0</v>
      </c>
      <c r="Z120" s="8">
        <f t="shared" si="7"/>
        <v>3396000</v>
      </c>
      <c r="AA120" s="6" t="s">
        <v>26</v>
      </c>
      <c r="AB120" s="9" t="s">
        <v>28</v>
      </c>
      <c r="AC120" s="9" t="s">
        <v>28</v>
      </c>
      <c r="AD120" s="9" t="s">
        <v>28</v>
      </c>
      <c r="AE120" s="9" t="s">
        <v>28</v>
      </c>
      <c r="AF120" s="9" t="s">
        <v>28</v>
      </c>
      <c r="AG120" s="9" t="s">
        <v>28</v>
      </c>
      <c r="AH120" s="27" t="s">
        <v>28</v>
      </c>
      <c r="AI120" s="6" t="s">
        <v>27</v>
      </c>
      <c r="AJ120" s="28">
        <f t="shared" si="8"/>
        <v>9980000</v>
      </c>
      <c r="AK120" s="5" t="s">
        <v>401</v>
      </c>
      <c r="AL120" s="29" t="s">
        <v>402</v>
      </c>
    </row>
    <row r="121" spans="1:38" ht="15" customHeight="1" x14ac:dyDescent="0.2">
      <c r="A121" s="5" t="s">
        <v>403</v>
      </c>
      <c r="B121" s="6" t="s">
        <v>404</v>
      </c>
      <c r="C121" s="6" t="s">
        <v>25</v>
      </c>
      <c r="D121" s="7">
        <v>780000</v>
      </c>
      <c r="E121" s="7">
        <v>1033700</v>
      </c>
      <c r="F121" s="7">
        <v>780000</v>
      </c>
      <c r="G121" s="7">
        <v>943700</v>
      </c>
      <c r="H121" s="7">
        <v>0</v>
      </c>
      <c r="I121" s="7">
        <v>0</v>
      </c>
      <c r="J121" s="8">
        <f t="shared" si="5"/>
        <v>3537400</v>
      </c>
      <c r="K121" s="6" t="s">
        <v>26</v>
      </c>
      <c r="L121" s="7">
        <v>780000</v>
      </c>
      <c r="M121" s="7">
        <v>953700</v>
      </c>
      <c r="N121" s="7">
        <v>780000</v>
      </c>
      <c r="O121" s="7">
        <v>1119700</v>
      </c>
      <c r="P121" s="7">
        <v>0</v>
      </c>
      <c r="Q121" s="7">
        <v>0</v>
      </c>
      <c r="R121" s="8">
        <f t="shared" si="6"/>
        <v>3633400</v>
      </c>
      <c r="S121" s="6" t="s">
        <v>26</v>
      </c>
      <c r="T121" s="7">
        <v>780000</v>
      </c>
      <c r="U121" s="7">
        <v>929700</v>
      </c>
      <c r="V121" s="7">
        <v>780000</v>
      </c>
      <c r="W121" s="7">
        <v>1199700</v>
      </c>
      <c r="X121" s="7">
        <v>0</v>
      </c>
      <c r="Y121" s="7">
        <v>0</v>
      </c>
      <c r="Z121" s="8">
        <f t="shared" si="7"/>
        <v>3689400</v>
      </c>
      <c r="AA121" s="6" t="s">
        <v>26</v>
      </c>
      <c r="AB121" s="9" t="s">
        <v>28</v>
      </c>
      <c r="AC121" s="9" t="s">
        <v>28</v>
      </c>
      <c r="AD121" s="9" t="s">
        <v>28</v>
      </c>
      <c r="AE121" s="9" t="s">
        <v>28</v>
      </c>
      <c r="AF121" s="9" t="s">
        <v>28</v>
      </c>
      <c r="AG121" s="9" t="s">
        <v>28</v>
      </c>
      <c r="AH121" s="10" t="s">
        <v>28</v>
      </c>
      <c r="AI121" s="6" t="s">
        <v>27</v>
      </c>
      <c r="AJ121" s="13">
        <f t="shared" si="8"/>
        <v>10860200</v>
      </c>
      <c r="AK121" s="5" t="s">
        <v>390</v>
      </c>
      <c r="AL121" s="14" t="s">
        <v>405</v>
      </c>
    </row>
    <row r="122" spans="1:38" ht="15" customHeight="1" x14ac:dyDescent="0.2">
      <c r="A122" s="5" t="s">
        <v>406</v>
      </c>
      <c r="B122" s="6" t="s">
        <v>407</v>
      </c>
      <c r="C122" s="6" t="s">
        <v>25</v>
      </c>
      <c r="D122" s="7">
        <v>400000</v>
      </c>
      <c r="E122" s="7">
        <v>430000</v>
      </c>
      <c r="F122" s="7">
        <v>400000</v>
      </c>
      <c r="G122" s="7">
        <v>365000</v>
      </c>
      <c r="H122" s="7">
        <v>0</v>
      </c>
      <c r="I122" s="7">
        <v>0</v>
      </c>
      <c r="J122" s="8">
        <f t="shared" si="5"/>
        <v>1595000</v>
      </c>
      <c r="K122" s="6" t="s">
        <v>26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8">
        <f t="shared" si="6"/>
        <v>0</v>
      </c>
      <c r="S122" s="6" t="s">
        <v>27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8">
        <f t="shared" si="7"/>
        <v>0</v>
      </c>
      <c r="AA122" s="6" t="s">
        <v>27</v>
      </c>
      <c r="AB122" s="9" t="s">
        <v>28</v>
      </c>
      <c r="AC122" s="9" t="s">
        <v>28</v>
      </c>
      <c r="AD122" s="9" t="s">
        <v>28</v>
      </c>
      <c r="AE122" s="9" t="s">
        <v>28</v>
      </c>
      <c r="AF122" s="9" t="s">
        <v>28</v>
      </c>
      <c r="AG122" s="9" t="s">
        <v>28</v>
      </c>
      <c r="AH122" s="10" t="s">
        <v>28</v>
      </c>
      <c r="AI122" s="6" t="s">
        <v>27</v>
      </c>
      <c r="AJ122" s="11">
        <f t="shared" si="8"/>
        <v>1595000</v>
      </c>
      <c r="AK122" s="5" t="s">
        <v>386</v>
      </c>
      <c r="AL122" s="12" t="s">
        <v>408</v>
      </c>
    </row>
    <row r="123" spans="1:38" ht="15" customHeight="1" x14ac:dyDescent="0.2">
      <c r="A123" s="5" t="s">
        <v>409</v>
      </c>
      <c r="B123" s="6" t="s">
        <v>410</v>
      </c>
      <c r="C123" s="6" t="s">
        <v>25</v>
      </c>
      <c r="D123" s="7">
        <v>400000</v>
      </c>
      <c r="E123" s="7">
        <v>430000</v>
      </c>
      <c r="F123" s="7">
        <v>400000</v>
      </c>
      <c r="G123" s="7">
        <v>365000</v>
      </c>
      <c r="H123" s="7">
        <v>0</v>
      </c>
      <c r="I123" s="7">
        <v>0</v>
      </c>
      <c r="J123" s="8">
        <f t="shared" si="5"/>
        <v>1595000</v>
      </c>
      <c r="K123" s="6" t="s">
        <v>26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8">
        <f t="shared" si="6"/>
        <v>0</v>
      </c>
      <c r="S123" s="6" t="s">
        <v>27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8">
        <f t="shared" si="7"/>
        <v>0</v>
      </c>
      <c r="AA123" s="6" t="s">
        <v>27</v>
      </c>
      <c r="AB123" s="9" t="s">
        <v>28</v>
      </c>
      <c r="AC123" s="9" t="s">
        <v>28</v>
      </c>
      <c r="AD123" s="9" t="s">
        <v>28</v>
      </c>
      <c r="AE123" s="9" t="s">
        <v>28</v>
      </c>
      <c r="AF123" s="9" t="s">
        <v>28</v>
      </c>
      <c r="AG123" s="9" t="s">
        <v>28</v>
      </c>
      <c r="AH123" s="10" t="s">
        <v>28</v>
      </c>
      <c r="AI123" s="6" t="s">
        <v>27</v>
      </c>
      <c r="AJ123" s="11">
        <f t="shared" si="8"/>
        <v>1595000</v>
      </c>
      <c r="AK123" s="5" t="s">
        <v>386</v>
      </c>
      <c r="AL123" s="12" t="s">
        <v>411</v>
      </c>
    </row>
    <row r="124" spans="1:38" ht="15" customHeight="1" x14ac:dyDescent="0.2">
      <c r="A124" s="5" t="s">
        <v>412</v>
      </c>
      <c r="B124" s="6" t="s">
        <v>413</v>
      </c>
      <c r="C124" s="6" t="s">
        <v>25</v>
      </c>
      <c r="D124" s="7">
        <v>430000</v>
      </c>
      <c r="E124" s="7">
        <v>767000</v>
      </c>
      <c r="F124" s="7">
        <v>430000</v>
      </c>
      <c r="G124" s="7">
        <v>677000</v>
      </c>
      <c r="H124" s="7">
        <v>0</v>
      </c>
      <c r="I124" s="7">
        <v>0</v>
      </c>
      <c r="J124" s="8">
        <f t="shared" si="5"/>
        <v>2304000</v>
      </c>
      <c r="K124" s="6" t="s">
        <v>26</v>
      </c>
      <c r="L124" s="7">
        <v>430000</v>
      </c>
      <c r="M124" s="7">
        <v>687000</v>
      </c>
      <c r="N124" s="7">
        <v>430000</v>
      </c>
      <c r="O124" s="7">
        <v>733000</v>
      </c>
      <c r="P124" s="7">
        <v>0</v>
      </c>
      <c r="Q124" s="7">
        <v>0</v>
      </c>
      <c r="R124" s="8">
        <f t="shared" si="6"/>
        <v>2280000</v>
      </c>
      <c r="S124" s="6" t="s">
        <v>26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8">
        <f t="shared" si="7"/>
        <v>0</v>
      </c>
      <c r="AA124" s="6" t="s">
        <v>27</v>
      </c>
      <c r="AB124" s="9" t="s">
        <v>28</v>
      </c>
      <c r="AC124" s="9" t="s">
        <v>28</v>
      </c>
      <c r="AD124" s="9" t="s">
        <v>28</v>
      </c>
      <c r="AE124" s="9" t="s">
        <v>28</v>
      </c>
      <c r="AF124" s="9" t="s">
        <v>28</v>
      </c>
      <c r="AG124" s="9" t="s">
        <v>28</v>
      </c>
      <c r="AH124" s="10" t="s">
        <v>28</v>
      </c>
      <c r="AI124" s="6" t="s">
        <v>27</v>
      </c>
      <c r="AJ124" s="13">
        <f t="shared" si="8"/>
        <v>4584000</v>
      </c>
      <c r="AK124" s="5" t="s">
        <v>390</v>
      </c>
      <c r="AL124" s="14" t="s">
        <v>414</v>
      </c>
    </row>
    <row r="125" spans="1:38" ht="15" customHeight="1" x14ac:dyDescent="0.2">
      <c r="A125" s="5" t="s">
        <v>415</v>
      </c>
      <c r="B125" s="6" t="s">
        <v>416</v>
      </c>
      <c r="C125" s="6" t="s">
        <v>25</v>
      </c>
      <c r="D125" s="7">
        <v>430000</v>
      </c>
      <c r="E125" s="7">
        <v>767000</v>
      </c>
      <c r="F125" s="7">
        <v>430000</v>
      </c>
      <c r="G125" s="7">
        <v>677000</v>
      </c>
      <c r="H125" s="7">
        <v>0</v>
      </c>
      <c r="I125" s="7">
        <v>0</v>
      </c>
      <c r="J125" s="8">
        <f t="shared" si="5"/>
        <v>2304000</v>
      </c>
      <c r="K125" s="6" t="s">
        <v>26</v>
      </c>
      <c r="L125" s="7">
        <v>430000</v>
      </c>
      <c r="M125" s="7">
        <v>687000</v>
      </c>
      <c r="N125" s="7">
        <v>430000</v>
      </c>
      <c r="O125" s="7">
        <v>733000</v>
      </c>
      <c r="P125" s="7">
        <v>0</v>
      </c>
      <c r="Q125" s="7">
        <v>0</v>
      </c>
      <c r="R125" s="8">
        <f t="shared" si="6"/>
        <v>2280000</v>
      </c>
      <c r="S125" s="6" t="s">
        <v>26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8">
        <f t="shared" si="7"/>
        <v>0</v>
      </c>
      <c r="AA125" s="6" t="s">
        <v>27</v>
      </c>
      <c r="AB125" s="9" t="s">
        <v>28</v>
      </c>
      <c r="AC125" s="9" t="s">
        <v>28</v>
      </c>
      <c r="AD125" s="9" t="s">
        <v>28</v>
      </c>
      <c r="AE125" s="9" t="s">
        <v>28</v>
      </c>
      <c r="AF125" s="9" t="s">
        <v>28</v>
      </c>
      <c r="AG125" s="9" t="s">
        <v>28</v>
      </c>
      <c r="AH125" s="10" t="s">
        <v>28</v>
      </c>
      <c r="AI125" s="6" t="s">
        <v>27</v>
      </c>
      <c r="AJ125" s="13">
        <f t="shared" si="8"/>
        <v>4584000</v>
      </c>
      <c r="AK125" s="5" t="s">
        <v>390</v>
      </c>
      <c r="AL125" s="14" t="s">
        <v>417</v>
      </c>
    </row>
    <row r="126" spans="1:38" ht="15" customHeight="1" x14ac:dyDescent="0.2">
      <c r="A126" s="5" t="s">
        <v>418</v>
      </c>
      <c r="B126" s="6" t="s">
        <v>419</v>
      </c>
      <c r="C126" s="6" t="s">
        <v>25</v>
      </c>
      <c r="D126" s="7">
        <v>530000</v>
      </c>
      <c r="E126" s="7">
        <v>879500</v>
      </c>
      <c r="F126" s="7">
        <v>530000</v>
      </c>
      <c r="G126" s="7">
        <v>789500</v>
      </c>
      <c r="H126" s="7">
        <v>0</v>
      </c>
      <c r="I126" s="7">
        <v>0</v>
      </c>
      <c r="J126" s="8">
        <f t="shared" si="5"/>
        <v>2729000</v>
      </c>
      <c r="K126" s="6" t="s">
        <v>26</v>
      </c>
      <c r="L126" s="7">
        <v>530000</v>
      </c>
      <c r="M126" s="7">
        <v>799500</v>
      </c>
      <c r="N126" s="7">
        <v>530000</v>
      </c>
      <c r="O126" s="7">
        <v>1045500</v>
      </c>
      <c r="P126" s="7">
        <v>0</v>
      </c>
      <c r="Q126" s="7">
        <v>0</v>
      </c>
      <c r="R126" s="8">
        <f t="shared" si="6"/>
        <v>2905000</v>
      </c>
      <c r="S126" s="6" t="s">
        <v>26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8">
        <f t="shared" si="7"/>
        <v>0</v>
      </c>
      <c r="AA126" s="6" t="s">
        <v>27</v>
      </c>
      <c r="AB126" s="9" t="s">
        <v>28</v>
      </c>
      <c r="AC126" s="9" t="s">
        <v>28</v>
      </c>
      <c r="AD126" s="9" t="s">
        <v>28</v>
      </c>
      <c r="AE126" s="9" t="s">
        <v>28</v>
      </c>
      <c r="AF126" s="9" t="s">
        <v>28</v>
      </c>
      <c r="AG126" s="9" t="s">
        <v>28</v>
      </c>
      <c r="AH126" s="10" t="s">
        <v>28</v>
      </c>
      <c r="AI126" s="6" t="s">
        <v>27</v>
      </c>
      <c r="AJ126" s="13">
        <f t="shared" si="8"/>
        <v>5634000</v>
      </c>
      <c r="AK126" s="5" t="s">
        <v>390</v>
      </c>
      <c r="AL126" s="14" t="s">
        <v>420</v>
      </c>
    </row>
    <row r="127" spans="1:38" ht="15" customHeight="1" x14ac:dyDescent="0.2">
      <c r="A127" s="5" t="s">
        <v>421</v>
      </c>
      <c r="B127" s="6" t="s">
        <v>422</v>
      </c>
      <c r="C127" s="6" t="s">
        <v>25</v>
      </c>
      <c r="D127" s="7">
        <v>530000</v>
      </c>
      <c r="E127" s="7">
        <v>879500</v>
      </c>
      <c r="F127" s="7">
        <v>530000</v>
      </c>
      <c r="G127" s="7">
        <v>789500</v>
      </c>
      <c r="H127" s="7">
        <v>0</v>
      </c>
      <c r="I127" s="7">
        <v>0</v>
      </c>
      <c r="J127" s="8">
        <f t="shared" si="5"/>
        <v>2729000</v>
      </c>
      <c r="K127" s="6" t="s">
        <v>26</v>
      </c>
      <c r="L127" s="7">
        <v>530000</v>
      </c>
      <c r="M127" s="7">
        <v>799500</v>
      </c>
      <c r="N127" s="7">
        <v>530000</v>
      </c>
      <c r="O127" s="7">
        <v>1045500</v>
      </c>
      <c r="P127" s="7">
        <v>0</v>
      </c>
      <c r="Q127" s="7">
        <v>0</v>
      </c>
      <c r="R127" s="8">
        <f t="shared" si="6"/>
        <v>2905000</v>
      </c>
      <c r="S127" s="6" t="s">
        <v>26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8">
        <f t="shared" si="7"/>
        <v>0</v>
      </c>
      <c r="AA127" s="6" t="s">
        <v>27</v>
      </c>
      <c r="AB127" s="9" t="s">
        <v>28</v>
      </c>
      <c r="AC127" s="9" t="s">
        <v>28</v>
      </c>
      <c r="AD127" s="9" t="s">
        <v>28</v>
      </c>
      <c r="AE127" s="9" t="s">
        <v>28</v>
      </c>
      <c r="AF127" s="9" t="s">
        <v>28</v>
      </c>
      <c r="AG127" s="9" t="s">
        <v>28</v>
      </c>
      <c r="AH127" s="10" t="s">
        <v>28</v>
      </c>
      <c r="AI127" s="6" t="s">
        <v>27</v>
      </c>
      <c r="AJ127" s="13">
        <f t="shared" si="8"/>
        <v>5634000</v>
      </c>
      <c r="AK127" s="5" t="s">
        <v>390</v>
      </c>
      <c r="AL127" s="14" t="s">
        <v>423</v>
      </c>
    </row>
    <row r="128" spans="1:38" ht="15" customHeight="1" x14ac:dyDescent="0.2">
      <c r="A128" s="5" t="s">
        <v>424</v>
      </c>
      <c r="B128" s="6" t="s">
        <v>425</v>
      </c>
      <c r="C128" s="6" t="s">
        <v>25</v>
      </c>
      <c r="D128" s="7">
        <v>530000</v>
      </c>
      <c r="E128" s="7">
        <v>1033700</v>
      </c>
      <c r="F128" s="7">
        <v>530000</v>
      </c>
      <c r="G128" s="7">
        <v>943700</v>
      </c>
      <c r="H128" s="7">
        <v>0</v>
      </c>
      <c r="I128" s="7">
        <v>0</v>
      </c>
      <c r="J128" s="8">
        <f t="shared" si="5"/>
        <v>3037400</v>
      </c>
      <c r="K128" s="6" t="s">
        <v>26</v>
      </c>
      <c r="L128" s="7">
        <v>530000</v>
      </c>
      <c r="M128" s="7">
        <v>953700</v>
      </c>
      <c r="N128" s="7">
        <v>530000</v>
      </c>
      <c r="O128" s="7">
        <v>1469700</v>
      </c>
      <c r="P128" s="7">
        <v>0</v>
      </c>
      <c r="Q128" s="7">
        <v>0</v>
      </c>
      <c r="R128" s="8">
        <f t="shared" si="6"/>
        <v>3483400</v>
      </c>
      <c r="S128" s="6" t="s">
        <v>26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8">
        <f t="shared" si="7"/>
        <v>0</v>
      </c>
      <c r="AA128" s="6" t="s">
        <v>27</v>
      </c>
      <c r="AB128" s="9" t="s">
        <v>28</v>
      </c>
      <c r="AC128" s="9" t="s">
        <v>28</v>
      </c>
      <c r="AD128" s="9" t="s">
        <v>28</v>
      </c>
      <c r="AE128" s="9" t="s">
        <v>28</v>
      </c>
      <c r="AF128" s="9" t="s">
        <v>28</v>
      </c>
      <c r="AG128" s="9" t="s">
        <v>28</v>
      </c>
      <c r="AH128" s="10" t="s">
        <v>28</v>
      </c>
      <c r="AI128" s="6" t="s">
        <v>27</v>
      </c>
      <c r="AJ128" s="13">
        <f t="shared" si="8"/>
        <v>6520800</v>
      </c>
      <c r="AK128" s="5" t="s">
        <v>390</v>
      </c>
      <c r="AL128" s="14" t="s">
        <v>426</v>
      </c>
    </row>
    <row r="129" spans="1:38" ht="15" customHeight="1" x14ac:dyDescent="0.2">
      <c r="A129" s="5" t="s">
        <v>427</v>
      </c>
      <c r="B129" s="6" t="s">
        <v>428</v>
      </c>
      <c r="C129" s="6" t="s">
        <v>25</v>
      </c>
      <c r="D129" s="7">
        <v>1563500</v>
      </c>
      <c r="E129" s="7">
        <v>914500</v>
      </c>
      <c r="F129" s="7">
        <v>1563500</v>
      </c>
      <c r="G129" s="7">
        <v>834500</v>
      </c>
      <c r="H129" s="7">
        <v>0</v>
      </c>
      <c r="I129" s="7">
        <v>0</v>
      </c>
      <c r="J129" s="8">
        <f t="shared" si="5"/>
        <v>4876000</v>
      </c>
      <c r="K129" s="6" t="s">
        <v>26</v>
      </c>
      <c r="L129" s="7">
        <v>1563500</v>
      </c>
      <c r="M129" s="7">
        <v>854500</v>
      </c>
      <c r="N129" s="7">
        <v>1563500</v>
      </c>
      <c r="O129" s="7">
        <v>834500</v>
      </c>
      <c r="P129" s="7">
        <v>0</v>
      </c>
      <c r="Q129" s="7">
        <v>0</v>
      </c>
      <c r="R129" s="8">
        <f t="shared" si="6"/>
        <v>4816000</v>
      </c>
      <c r="S129" s="6" t="s">
        <v>26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8">
        <f t="shared" si="7"/>
        <v>0</v>
      </c>
      <c r="AA129" s="6" t="s">
        <v>27</v>
      </c>
      <c r="AB129" s="9" t="s">
        <v>28</v>
      </c>
      <c r="AC129" s="9" t="s">
        <v>28</v>
      </c>
      <c r="AD129" s="9" t="s">
        <v>28</v>
      </c>
      <c r="AE129" s="9" t="s">
        <v>28</v>
      </c>
      <c r="AF129" s="9" t="s">
        <v>28</v>
      </c>
      <c r="AG129" s="9" t="s">
        <v>28</v>
      </c>
      <c r="AH129" s="10" t="s">
        <v>28</v>
      </c>
      <c r="AI129" s="6" t="s">
        <v>27</v>
      </c>
      <c r="AJ129" s="11">
        <f t="shared" si="8"/>
        <v>9692000</v>
      </c>
      <c r="AK129" s="5" t="s">
        <v>386</v>
      </c>
      <c r="AL129" s="12" t="s">
        <v>429</v>
      </c>
    </row>
    <row r="130" spans="1:38" ht="15" customHeight="1" x14ac:dyDescent="0.2">
      <c r="A130" s="5" t="s">
        <v>430</v>
      </c>
      <c r="B130" s="6" t="s">
        <v>431</v>
      </c>
      <c r="C130" s="6" t="s">
        <v>25</v>
      </c>
      <c r="D130" s="7">
        <v>1701500</v>
      </c>
      <c r="E130" s="7">
        <v>914500</v>
      </c>
      <c r="F130" s="7">
        <v>1701500</v>
      </c>
      <c r="G130" s="7">
        <v>834500</v>
      </c>
      <c r="H130" s="7">
        <v>0</v>
      </c>
      <c r="I130" s="7">
        <v>0</v>
      </c>
      <c r="J130" s="8">
        <f t="shared" si="5"/>
        <v>5152000</v>
      </c>
      <c r="K130" s="6" t="s">
        <v>26</v>
      </c>
      <c r="L130" s="7">
        <v>1563500</v>
      </c>
      <c r="M130" s="7">
        <v>854500</v>
      </c>
      <c r="N130" s="7">
        <v>1563500</v>
      </c>
      <c r="O130" s="7">
        <v>834500</v>
      </c>
      <c r="P130" s="7">
        <v>0</v>
      </c>
      <c r="Q130" s="7">
        <v>0</v>
      </c>
      <c r="R130" s="8">
        <f t="shared" si="6"/>
        <v>4816000</v>
      </c>
      <c r="S130" s="6" t="s">
        <v>26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8">
        <f t="shared" si="7"/>
        <v>0</v>
      </c>
      <c r="AA130" s="6" t="s">
        <v>27</v>
      </c>
      <c r="AB130" s="9" t="s">
        <v>28</v>
      </c>
      <c r="AC130" s="9" t="s">
        <v>28</v>
      </c>
      <c r="AD130" s="9" t="s">
        <v>28</v>
      </c>
      <c r="AE130" s="9" t="s">
        <v>28</v>
      </c>
      <c r="AF130" s="9" t="s">
        <v>28</v>
      </c>
      <c r="AG130" s="9" t="s">
        <v>28</v>
      </c>
      <c r="AH130" s="10" t="s">
        <v>28</v>
      </c>
      <c r="AI130" s="6" t="s">
        <v>27</v>
      </c>
      <c r="AJ130" s="11">
        <f t="shared" si="8"/>
        <v>9968000</v>
      </c>
      <c r="AK130" s="5" t="s">
        <v>386</v>
      </c>
      <c r="AL130" s="12" t="s">
        <v>432</v>
      </c>
    </row>
    <row r="131" spans="1:38" ht="20.25" customHeight="1" x14ac:dyDescent="0.2">
      <c r="A131" s="5" t="s">
        <v>433</v>
      </c>
      <c r="B131" s="6" t="s">
        <v>434</v>
      </c>
      <c r="C131" s="6" t="s">
        <v>25</v>
      </c>
      <c r="D131" s="7">
        <v>1808000</v>
      </c>
      <c r="E131" s="7">
        <v>914500</v>
      </c>
      <c r="F131" s="7">
        <v>1808000</v>
      </c>
      <c r="G131" s="7">
        <v>834500</v>
      </c>
      <c r="H131" s="7">
        <v>0</v>
      </c>
      <c r="I131" s="7">
        <v>0</v>
      </c>
      <c r="J131" s="8">
        <f t="shared" si="5"/>
        <v>5365000</v>
      </c>
      <c r="K131" s="6" t="s">
        <v>26</v>
      </c>
      <c r="L131" s="7">
        <v>1563500</v>
      </c>
      <c r="M131" s="7">
        <v>854500</v>
      </c>
      <c r="N131" s="7">
        <v>1563500</v>
      </c>
      <c r="O131" s="7">
        <v>834500</v>
      </c>
      <c r="P131" s="7">
        <v>0</v>
      </c>
      <c r="Q131" s="7">
        <v>0</v>
      </c>
      <c r="R131" s="8">
        <f t="shared" si="6"/>
        <v>4816000</v>
      </c>
      <c r="S131" s="6" t="s">
        <v>26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8">
        <f t="shared" si="7"/>
        <v>0</v>
      </c>
      <c r="AA131" s="6" t="s">
        <v>27</v>
      </c>
      <c r="AB131" s="9" t="s">
        <v>28</v>
      </c>
      <c r="AC131" s="9" t="s">
        <v>28</v>
      </c>
      <c r="AD131" s="9" t="s">
        <v>28</v>
      </c>
      <c r="AE131" s="9" t="s">
        <v>28</v>
      </c>
      <c r="AF131" s="9" t="s">
        <v>28</v>
      </c>
      <c r="AG131" s="9" t="s">
        <v>28</v>
      </c>
      <c r="AH131" s="10" t="s">
        <v>28</v>
      </c>
      <c r="AI131" s="6" t="s">
        <v>27</v>
      </c>
      <c r="AJ131" s="11">
        <f t="shared" si="8"/>
        <v>10181000</v>
      </c>
      <c r="AK131" s="5" t="s">
        <v>386</v>
      </c>
      <c r="AL131" s="12" t="s">
        <v>435</v>
      </c>
    </row>
    <row r="132" spans="1:38" ht="15" customHeight="1" x14ac:dyDescent="0.2">
      <c r="A132" s="5" t="s">
        <v>436</v>
      </c>
      <c r="B132" s="6" t="s">
        <v>437</v>
      </c>
      <c r="C132" s="6" t="s">
        <v>25</v>
      </c>
      <c r="D132" s="7">
        <v>630000</v>
      </c>
      <c r="E132" s="7">
        <v>767000</v>
      </c>
      <c r="F132" s="7">
        <v>630000</v>
      </c>
      <c r="G132" s="7">
        <v>877000</v>
      </c>
      <c r="H132" s="7">
        <v>0</v>
      </c>
      <c r="I132" s="7">
        <v>0</v>
      </c>
      <c r="J132" s="8">
        <f t="shared" ref="J132" si="9">SUM(D132:I132)</f>
        <v>2904000</v>
      </c>
      <c r="K132" s="6" t="s">
        <v>26</v>
      </c>
      <c r="L132" s="7">
        <v>630000</v>
      </c>
      <c r="M132" s="7">
        <v>687000</v>
      </c>
      <c r="N132" s="7">
        <v>630000</v>
      </c>
      <c r="O132" s="7">
        <v>853000</v>
      </c>
      <c r="P132" s="7">
        <v>0</v>
      </c>
      <c r="Q132" s="7">
        <v>0</v>
      </c>
      <c r="R132" s="8">
        <f t="shared" ref="R132" si="10">SUM(L132:Q132)</f>
        <v>2800000</v>
      </c>
      <c r="S132" s="6" t="s">
        <v>26</v>
      </c>
      <c r="T132" s="7">
        <v>630000</v>
      </c>
      <c r="U132" s="7">
        <v>663000</v>
      </c>
      <c r="V132" s="7">
        <v>630000</v>
      </c>
      <c r="W132" s="7">
        <v>733000</v>
      </c>
      <c r="X132" s="7">
        <v>0</v>
      </c>
      <c r="Y132" s="7">
        <v>0</v>
      </c>
      <c r="Z132" s="8">
        <f t="shared" ref="Z132" si="11">SUM(T132:Y132)</f>
        <v>2656000</v>
      </c>
      <c r="AA132" s="6" t="s">
        <v>26</v>
      </c>
      <c r="AB132" s="9" t="s">
        <v>28</v>
      </c>
      <c r="AC132" s="9" t="s">
        <v>28</v>
      </c>
      <c r="AD132" s="9" t="s">
        <v>28</v>
      </c>
      <c r="AE132" s="9" t="s">
        <v>28</v>
      </c>
      <c r="AF132" s="9" t="s">
        <v>28</v>
      </c>
      <c r="AG132" s="9" t="s">
        <v>28</v>
      </c>
      <c r="AH132" s="10" t="s">
        <v>28</v>
      </c>
      <c r="AI132" s="6" t="s">
        <v>27</v>
      </c>
      <c r="AJ132" s="13">
        <f t="shared" si="8"/>
        <v>8360000</v>
      </c>
      <c r="AK132" s="5" t="s">
        <v>390</v>
      </c>
      <c r="AL132" s="14" t="s">
        <v>438</v>
      </c>
    </row>
    <row r="134" spans="1:38" x14ac:dyDescent="0.2">
      <c r="A134" s="30" t="s">
        <v>439</v>
      </c>
    </row>
    <row r="135" spans="1:38" ht="31.5" customHeight="1" x14ac:dyDescent="0.2">
      <c r="A135" s="31" t="s">
        <v>440</v>
      </c>
      <c r="B135" s="32" t="s">
        <v>441</v>
      </c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</row>
    <row r="136" spans="1:38" ht="31.5" customHeight="1" x14ac:dyDescent="0.2">
      <c r="A136" s="33" t="s">
        <v>442</v>
      </c>
      <c r="B136" s="32" t="s">
        <v>443</v>
      </c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</row>
    <row r="137" spans="1:38" ht="31.5" customHeight="1" x14ac:dyDescent="0.2">
      <c r="A137" s="34" t="s">
        <v>444</v>
      </c>
      <c r="B137" s="32" t="s">
        <v>445</v>
      </c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</row>
    <row r="138" spans="1:38" ht="31.5" customHeight="1" x14ac:dyDescent="0.2">
      <c r="A138" s="35" t="s">
        <v>446</v>
      </c>
      <c r="B138" s="32" t="s">
        <v>447</v>
      </c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</row>
    <row r="139" spans="1:38" ht="31.5" customHeight="1" x14ac:dyDescent="0.2">
      <c r="A139" s="36" t="s">
        <v>448</v>
      </c>
      <c r="B139" s="32" t="s">
        <v>449</v>
      </c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</row>
    <row r="142" spans="1:38" ht="159.75" customHeight="1" x14ac:dyDescent="0.2">
      <c r="A142" s="37" t="s">
        <v>450</v>
      </c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</row>
  </sheetData>
  <mergeCells count="36">
    <mergeCell ref="B137:AL137"/>
    <mergeCell ref="B138:AL138"/>
    <mergeCell ref="B139:AL139"/>
    <mergeCell ref="A142:AL142"/>
    <mergeCell ref="AD2:AE2"/>
    <mergeCell ref="AF2:AG2"/>
    <mergeCell ref="AH2:AH3"/>
    <mergeCell ref="AI2:AI3"/>
    <mergeCell ref="B135:AL135"/>
    <mergeCell ref="B136:AL136"/>
    <mergeCell ref="T2:U2"/>
    <mergeCell ref="V2:W2"/>
    <mergeCell ref="X2:Y2"/>
    <mergeCell ref="Z2:Z3"/>
    <mergeCell ref="AA2:AA3"/>
    <mergeCell ref="AB2:AC2"/>
    <mergeCell ref="AB1:AI1"/>
    <mergeCell ref="AJ1:AJ3"/>
    <mergeCell ref="AK1:AK3"/>
    <mergeCell ref="AL1:AL3"/>
    <mergeCell ref="D2:E2"/>
    <mergeCell ref="F2:G2"/>
    <mergeCell ref="H2:I2"/>
    <mergeCell ref="J2:J3"/>
    <mergeCell ref="K2:K3"/>
    <mergeCell ref="L2:M2"/>
    <mergeCell ref="A1:A3"/>
    <mergeCell ref="B1:B3"/>
    <mergeCell ref="C1:C3"/>
    <mergeCell ref="D1:K1"/>
    <mergeCell ref="L1:S1"/>
    <mergeCell ref="T1:AA1"/>
    <mergeCell ref="N2:O2"/>
    <mergeCell ref="P2:Q2"/>
    <mergeCell ref="R2:R3"/>
    <mergeCell ref="S2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Muhindo Mubaraka</dc:creator>
  <cp:lastModifiedBy>Muhindo Mubaraka</cp:lastModifiedBy>
  <dcterms:created xsi:type="dcterms:W3CDTF">2026-05-17T22:30:25Z</dcterms:created>
  <dcterms:modified xsi:type="dcterms:W3CDTF">2026-05-17T22:31:05Z</dcterms:modified>
</cp:coreProperties>
</file>